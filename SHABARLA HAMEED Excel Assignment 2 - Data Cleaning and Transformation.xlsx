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BARLA\Downloads\"/>
    </mc:Choice>
  </mc:AlternateContent>
  <xr:revisionPtr revIDLastSave="0" documentId="8_{02A6B367-F69E-4386-B951-C091955A66E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set" sheetId="2" r:id="rId1"/>
    <sheet name="Assignment 2 - Data Clean" sheetId="5" r:id="rId2"/>
  </sheets>
  <definedNames>
    <definedName name="_xlnm._FilterDatabase" localSheetId="1" hidden="1">'Assignment 2 - Data Clean'!$A$5:$O$36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B6" i="5" l="1"/>
  <c r="K23" i="5"/>
  <c r="O6" i="5"/>
  <c r="O7" i="5"/>
  <c r="O8" i="5"/>
  <c r="O9" i="5"/>
  <c r="O10" i="5"/>
  <c r="O11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12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6" i="5"/>
  <c r="G29" i="5" l="1"/>
  <c r="G11" i="5"/>
  <c r="G25" i="5"/>
  <c r="G6" i="5"/>
  <c r="G16" i="5"/>
  <c r="G35" i="5"/>
  <c r="G7" i="5"/>
  <c r="G33" i="5"/>
  <c r="G18" i="5"/>
  <c r="G21" i="5"/>
  <c r="G30" i="5"/>
  <c r="G12" i="5"/>
  <c r="G27" i="5"/>
  <c r="G17" i="5"/>
  <c r="G23" i="5"/>
  <c r="G28" i="5"/>
  <c r="G22" i="5"/>
  <c r="G31" i="5"/>
  <c r="G10" i="5"/>
  <c r="G9" i="5"/>
  <c r="G24" i="5"/>
  <c r="G15" i="5"/>
  <c r="G26" i="5"/>
  <c r="G32" i="5"/>
  <c r="G8" i="5"/>
  <c r="G13" i="5"/>
  <c r="G34" i="5"/>
  <c r="G14" i="5"/>
  <c r="G19" i="5"/>
  <c r="G36" i="5"/>
  <c r="G2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2E1D6C-2976-40F0-A25D-423669E31164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<sst xmlns="http://schemas.openxmlformats.org/spreadsheetml/2006/main" count="391" uniqueCount="122">
  <si>
    <t>1) Handling Missing Values:</t>
  </si>
  <si>
    <t>• Check for missing values in the 'Price' column. How would you handle products with missing price information?</t>
  </si>
  <si>
    <t>2) Correcting Inconsistent Data:</t>
  </si>
  <si>
    <t>• Use the find and replace function to standardize the text formats in the "Product Name" column and fix any typos or misspellings in the "Category" column.</t>
  </si>
  <si>
    <t>3) Removing Duplicates: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</si>
  <si>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</si>
  <si>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</si>
  <si>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</si>
  <si>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</si>
  <si>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"Manufacturing Date" column to display dates in the "DD-MM-YYYY " format. 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</si>
  <si>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</si>
  <si>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</si>
  <si>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</si>
  <si>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</si>
  <si>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</si>
  <si>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</si>
  <si>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</si>
  <si>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</si>
  <si>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</si>
  <si>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</si>
  <si>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</si>
  <si>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</si>
  <si>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</si>
  <si>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</si>
  <si>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</si>
  <si>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</si>
  <si>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</si>
  <si>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</si>
  <si>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</si>
  <si>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</si>
  <si>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</si>
  <si>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</si>
  <si>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</si>
  <si>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</si>
  <si>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</si>
  <si>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</si>
  <si>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</si>
  <si>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</si>
  <si>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</si>
  <si>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</si>
  <si>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</si>
  <si>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</si>
  <si>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</si>
  <si>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</si>
  <si>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</si>
  <si>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</si>
  <si>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</si>
  <si>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</si>
  <si>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</si>
  <si>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</si>
  <si>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</si>
  <si>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</si>
  <si>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</si>
  <si>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</si>
  <si>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</si>
  <si>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</si>
  <si>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</si>
  <si>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</si>
  <si>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</si>
  <si>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</si>
  <si>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</si>
  <si>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</si>
  <si>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</si>
  <si>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</si>
  <si>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</si>
  <si>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</si>
  <si>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</si>
  <si>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</si>
  <si>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</si>
  <si>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</si>
  <si>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</si>
  <si>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</si>
  <si>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</si>
  <si>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</si>
  <si>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</si>
  <si>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</si>
  <si>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</si>
  <si>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</si>
  <si>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</si>
  <si>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</si>
  <si>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</si>
  <si>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</si>
  <si>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</si>
  <si>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</si>
  <si>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</si>
  <si>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</si>
  <si>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</si>
  <si>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</si>
  <si>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</si>
  <si>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</si>
  <si>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</si>
  <si>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</si>
  <si>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</si>
  <si>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</si>
  <si>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</si>
  <si>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</si>
  <si>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</si>
  <si>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</si>
  <si>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</si>
  <si>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</si>
  <si>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</si>
  <si>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</si>
  <si>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</si>
  <si>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</si>
  <si>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</si>
  <si>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</si>
  <si>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</si>
  <si>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Price ($)_After Clean </t>
  </si>
  <si>
    <t>Product Name_After Clean</t>
  </si>
  <si>
    <t>T-Shirt</t>
  </si>
  <si>
    <t>Product Name_After replace</t>
  </si>
  <si>
    <t>Head Phones</t>
  </si>
  <si>
    <t>Removed using Data-&gt; Remove Duplicates Option</t>
  </si>
  <si>
    <t>Manufacturing Date</t>
  </si>
  <si>
    <t>Country Code</t>
  </si>
  <si>
    <t>Product Brand</t>
  </si>
  <si>
    <t>• Identify any inconsistent text formats present in the "Product Name" column.
• Use the find and replace function to standardize the text formats in the "Product Name" column and fix any typos or misspellings in the "Category" column.</t>
  </si>
  <si>
    <t>Smart Phone</t>
  </si>
  <si>
    <t>Smart Watch</t>
  </si>
  <si>
    <r>
      <rPr>
        <b/>
        <sz val="10"/>
        <color rgb="FF000000"/>
        <rFont val="Arial"/>
        <family val="2"/>
        <scheme val="minor"/>
      </rPr>
      <t>1) Handling Missing Values:</t>
    </r>
    <r>
      <rPr>
        <sz val="10"/>
        <color rgb="FF000000"/>
        <rFont val="Arial"/>
        <family val="2"/>
        <scheme val="minor"/>
      </rPr>
      <t xml:space="preserve">
• If there are products with missing categories, propose a strategy to impute or deal with these missing values effectively.
</t>
    </r>
    <r>
      <rPr>
        <sz val="10"/>
        <color rgb="FFFF0000"/>
        <rFont val="Arial"/>
        <family val="2"/>
        <scheme val="minor"/>
      </rPr>
      <t>Lookup table is in columns</t>
    </r>
  </si>
  <si>
    <r>
      <rPr>
        <b/>
        <sz val="10"/>
        <color rgb="FF000000"/>
        <rFont val="Arial"/>
        <family val="2"/>
        <scheme val="minor"/>
      </rPr>
      <t xml:space="preserve">5) Number Formatting:
</t>
    </r>
    <r>
      <rPr>
        <sz val="10"/>
        <color rgb="FF000000"/>
        <rFont val="Arial"/>
        <family val="2"/>
        <scheme val="minor"/>
      </rPr>
      <t xml:space="preserve">
• Format the data type of the "Price" column to currency format. 
</t>
    </r>
    <r>
      <rPr>
        <b/>
        <sz val="10"/>
        <color rgb="FF000000"/>
        <rFont val="Arial"/>
        <family val="2"/>
        <scheme val="minor"/>
      </rPr>
      <t>6) Conditional Formatting:</t>
    </r>
    <r>
      <rPr>
        <sz val="10"/>
        <color rgb="FF000000"/>
        <rFont val="Arial"/>
        <family val="2"/>
        <scheme val="minor"/>
      </rPr>
      <t xml:space="preserve">
• Apply data bar or color scales conditional formatting in the "Price" column.
</t>
    </r>
  </si>
  <si>
    <r>
      <rPr>
        <b/>
        <sz val="10"/>
        <color rgb="FF000000"/>
        <rFont val="Arial"/>
        <family val="2"/>
        <scheme val="minor"/>
      </rPr>
      <t>1) Handling Missing Values:</t>
    </r>
    <r>
      <rPr>
        <sz val="10"/>
        <color rgb="FF000000"/>
        <rFont val="Arial"/>
        <family val="2"/>
        <scheme val="minor"/>
      </rPr>
      <t xml:space="preserve">
• If there are products with missing categories, propose a strategy to impute or deal with these missing values effectively.
</t>
    </r>
    <r>
      <rPr>
        <b/>
        <sz val="10"/>
        <color rgb="FF000000"/>
        <rFont val="Arial"/>
        <family val="2"/>
        <scheme val="minor"/>
      </rPr>
      <t xml:space="preserve">6) Conditional Formatting:
</t>
    </r>
    <r>
      <rPr>
        <sz val="10"/>
        <color rgb="FF000000"/>
        <rFont val="Arial"/>
        <family val="2"/>
        <scheme val="minor"/>
      </rPr>
      <t xml:space="preserve">
• Create a custom rule for conditional formatting in the "Category" column to highlight cells where the category is "Electronics."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</si>
</sst>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$&quot;* #,##0.00_);_(&quot;$&quot;* \(#,##0.00\);_(&quot;$&quot;* &quot;-&quot;??_);_(@_)"/>
    <numFmt numFmtId="165" formatCode="&quot;$&quot;#,##0.00"/>
    <numFmt numFmtId="166" formatCode="m/d/yyyy;@"/>
    <numFmt numFmtId="167" formatCode="_([$$-409]* #,##0.00_);_([$$-409]* \(#,##0.00\);_([$$-409]* &quot;-&quot;??_);_(@_)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/>
        <bgColor rgb="FF4DD0E1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rgb="FF4DD0E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vertical="top" wrapText="1"/>
    </xf>
    <xf numFmtId="2" fontId="0" fillId="0" borderId="0" xfId="0" applyNumberFormat="1"/>
    <xf numFmtId="0" fontId="5" fillId="5" borderId="0" xfId="0" applyFont="1" applyFill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166" fontId="1" fillId="0" borderId="1" xfId="0" applyNumberFormat="1" applyFont="1" applyBorder="1"/>
    <xf numFmtId="0" fontId="1" fillId="3" borderId="1" xfId="0" applyFont="1" applyFill="1" applyBorder="1"/>
    <xf numFmtId="165" fontId="0" fillId="0" borderId="0" xfId="0" applyNumberFormat="1"/>
    <xf numFmtId="167" fontId="1" fillId="0" borderId="1" xfId="1" applyNumberFormat="1" applyFont="1" applyBorder="1"/>
    <xf numFmtId="0" fontId="2" fillId="4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2"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</dxfs>
  <tableStyles count="1" defaultTableStyle="TableStyleMedium2" defaultPivotStyle="PivotStyleLight16">
    <tableStyle name="Invisible" pivot="0" table="0" count="0" xr9:uid="{9D520D91-C2AE-4D68-9C72-C56DC2CAA1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>
      <selection activeCell="K17" sqref="K17"/>
    </sheetView>
  </sheetViews>
  <sheetFormatPr defaultColWidth="12.5703125" defaultRowHeight="15" customHeight="1" x14ac:dyDescent="0.2"/>
  <cols>
    <col min="1" max="1" width="10.85546875" bestFit="1" customWidth="1"/>
    <col min="2" max="2" width="14" bestFit="1" customWidth="1"/>
    <col min="3" max="6" width="12.5703125" customWidth="1"/>
  </cols>
  <sheetData>
    <row r="1" spans="1:6" ht="15.75" customHeight="1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 ht="15.75" customHeight="1" x14ac:dyDescent="0.2">
      <c r="A2" s="1" t="s">
        <v>16</v>
      </c>
      <c r="B2" s="1" t="s">
        <v>17</v>
      </c>
      <c r="C2" s="1" t="s">
        <v>18</v>
      </c>
      <c r="D2" s="1">
        <v>1000</v>
      </c>
      <c r="E2" s="1">
        <v>30</v>
      </c>
      <c r="F2" s="1" t="s">
        <v>19</v>
      </c>
    </row>
    <row r="3" spans="1:6" ht="15.75" customHeight="1" x14ac:dyDescent="0.2">
      <c r="A3" s="3" t="s">
        <v>20</v>
      </c>
      <c r="B3" s="3" t="s">
        <v>21</v>
      </c>
      <c r="C3" s="3" t="s">
        <v>22</v>
      </c>
      <c r="D3" s="3">
        <v>80</v>
      </c>
      <c r="E3" s="3">
        <v>15</v>
      </c>
      <c r="F3" s="3" t="s">
        <v>23</v>
      </c>
    </row>
    <row r="4" spans="1:6" ht="15.75" customHeight="1" x14ac:dyDescent="0.2">
      <c r="A4" s="1" t="s">
        <v>24</v>
      </c>
      <c r="B4" s="1" t="s">
        <v>25</v>
      </c>
      <c r="C4" s="1" t="s">
        <v>26</v>
      </c>
      <c r="D4" s="1">
        <v>130</v>
      </c>
      <c r="E4" s="1">
        <v>40</v>
      </c>
      <c r="F4" s="1" t="s">
        <v>27</v>
      </c>
    </row>
    <row r="5" spans="1:6" ht="15.75" customHeight="1" x14ac:dyDescent="0.2">
      <c r="A5" s="3" t="s">
        <v>28</v>
      </c>
      <c r="B5" s="3" t="s">
        <v>29</v>
      </c>
      <c r="C5" s="3" t="s">
        <v>30</v>
      </c>
      <c r="D5" s="3">
        <v>900</v>
      </c>
      <c r="E5" s="3">
        <v>25</v>
      </c>
      <c r="F5" s="3" t="s">
        <v>19</v>
      </c>
    </row>
    <row r="6" spans="1:6" ht="15.75" customHeight="1" x14ac:dyDescent="0.2">
      <c r="A6" s="1" t="s">
        <v>31</v>
      </c>
      <c r="B6" s="1" t="s">
        <v>32</v>
      </c>
      <c r="C6" s="1" t="s">
        <v>33</v>
      </c>
      <c r="D6" s="1">
        <v>70</v>
      </c>
      <c r="E6" s="1">
        <v>20</v>
      </c>
      <c r="F6" s="1"/>
    </row>
    <row r="7" spans="1:6" ht="15.75" customHeight="1" x14ac:dyDescent="0.2">
      <c r="A7" s="3" t="s">
        <v>34</v>
      </c>
      <c r="B7" s="3" t="s">
        <v>35</v>
      </c>
      <c r="C7" s="3" t="s">
        <v>36</v>
      </c>
      <c r="D7" s="3"/>
      <c r="E7" s="3">
        <v>45</v>
      </c>
      <c r="F7" s="3" t="s">
        <v>37</v>
      </c>
    </row>
    <row r="8" spans="1:6" ht="15.75" customHeight="1" x14ac:dyDescent="0.2">
      <c r="A8" s="1" t="s">
        <v>38</v>
      </c>
      <c r="B8" s="1" t="s">
        <v>39</v>
      </c>
      <c r="C8" s="1" t="s">
        <v>40</v>
      </c>
      <c r="D8" s="1">
        <v>30</v>
      </c>
      <c r="E8" s="1">
        <v>5</v>
      </c>
      <c r="F8" s="1" t="s">
        <v>23</v>
      </c>
    </row>
    <row r="9" spans="1:6" ht="15.75" customHeight="1" x14ac:dyDescent="0.2">
      <c r="A9" s="3" t="s">
        <v>41</v>
      </c>
      <c r="B9" s="3" t="s">
        <v>42</v>
      </c>
      <c r="C9" s="3" t="s">
        <v>43</v>
      </c>
      <c r="D9" s="3">
        <v>90</v>
      </c>
      <c r="E9" s="3">
        <v>35</v>
      </c>
      <c r="F9" s="3" t="s">
        <v>27</v>
      </c>
    </row>
    <row r="10" spans="1:6" ht="15.75" customHeight="1" x14ac:dyDescent="0.2">
      <c r="A10" s="1" t="s">
        <v>44</v>
      </c>
      <c r="B10" s="1" t="s">
        <v>45</v>
      </c>
      <c r="C10" s="1" t="s">
        <v>46</v>
      </c>
      <c r="D10" s="1">
        <v>500</v>
      </c>
      <c r="E10" s="1">
        <v>50</v>
      </c>
      <c r="F10" s="1" t="s">
        <v>19</v>
      </c>
    </row>
    <row r="11" spans="1:6" ht="15.75" customHeight="1" x14ac:dyDescent="0.2">
      <c r="A11" s="3" t="s">
        <v>47</v>
      </c>
      <c r="B11" s="3" t="s">
        <v>48</v>
      </c>
      <c r="C11" s="3" t="s">
        <v>49</v>
      </c>
      <c r="D11" s="3">
        <v>130</v>
      </c>
      <c r="E11" s="3">
        <v>10</v>
      </c>
      <c r="F11" s="3" t="s">
        <v>50</v>
      </c>
    </row>
    <row r="12" spans="1:6" ht="15.75" customHeight="1" x14ac:dyDescent="0.2">
      <c r="A12" s="1" t="s">
        <v>51</v>
      </c>
      <c r="B12" s="1" t="s">
        <v>52</v>
      </c>
      <c r="C12" s="1" t="s">
        <v>53</v>
      </c>
      <c r="D12" s="1">
        <v>950</v>
      </c>
      <c r="E12" s="1">
        <v>25</v>
      </c>
      <c r="F12" s="1" t="s">
        <v>19</v>
      </c>
    </row>
    <row r="13" spans="1:6" ht="15.75" customHeight="1" x14ac:dyDescent="0.2">
      <c r="A13" s="3" t="s">
        <v>54</v>
      </c>
      <c r="B13" s="3" t="s">
        <v>21</v>
      </c>
      <c r="C13" s="3" t="s">
        <v>40</v>
      </c>
      <c r="D13" s="3">
        <v>90</v>
      </c>
      <c r="E13" s="3">
        <v>40</v>
      </c>
      <c r="F13" s="3"/>
    </row>
    <row r="14" spans="1:6" ht="15.75" customHeight="1" x14ac:dyDescent="0.2">
      <c r="A14" s="1" t="s">
        <v>55</v>
      </c>
      <c r="B14" s="1" t="s">
        <v>25</v>
      </c>
      <c r="C14" s="1" t="s">
        <v>56</v>
      </c>
      <c r="D14" s="1">
        <v>120</v>
      </c>
      <c r="E14" s="1">
        <v>35</v>
      </c>
      <c r="F14" s="1"/>
    </row>
    <row r="15" spans="1:6" ht="15.75" customHeight="1" x14ac:dyDescent="0.2">
      <c r="A15" s="3" t="s">
        <v>57</v>
      </c>
      <c r="B15" s="3" t="s">
        <v>58</v>
      </c>
      <c r="C15" s="3" t="s">
        <v>59</v>
      </c>
      <c r="D15" s="3">
        <v>150</v>
      </c>
      <c r="E15" s="3">
        <v>15</v>
      </c>
      <c r="F15" s="3" t="s">
        <v>37</v>
      </c>
    </row>
    <row r="16" spans="1:6" ht="15.75" customHeight="1" x14ac:dyDescent="0.2">
      <c r="A16" s="1" t="s">
        <v>60</v>
      </c>
      <c r="B16" s="1" t="s">
        <v>61</v>
      </c>
      <c r="C16" s="1" t="s">
        <v>62</v>
      </c>
      <c r="D16" s="1">
        <v>250</v>
      </c>
      <c r="E16" s="1">
        <v>20</v>
      </c>
      <c r="F16" s="1" t="s">
        <v>37</v>
      </c>
    </row>
    <row r="17" spans="1:6" ht="15.75" customHeight="1" x14ac:dyDescent="0.2">
      <c r="A17" s="3" t="s">
        <v>63</v>
      </c>
      <c r="B17" s="3" t="s">
        <v>64</v>
      </c>
      <c r="C17" s="3" t="s">
        <v>65</v>
      </c>
      <c r="D17" s="3">
        <v>50</v>
      </c>
      <c r="E17" s="3">
        <v>35</v>
      </c>
      <c r="F17" s="3" t="s">
        <v>66</v>
      </c>
    </row>
    <row r="18" spans="1:6" ht="15.75" customHeight="1" x14ac:dyDescent="0.2">
      <c r="A18" s="1" t="s">
        <v>67</v>
      </c>
      <c r="B18" s="1" t="s">
        <v>58</v>
      </c>
      <c r="C18" s="1" t="s">
        <v>68</v>
      </c>
      <c r="D18" s="1">
        <v>160</v>
      </c>
      <c r="E18" s="1">
        <v>15</v>
      </c>
      <c r="F18" s="1" t="s">
        <v>37</v>
      </c>
    </row>
    <row r="19" spans="1:6" ht="15.75" customHeight="1" x14ac:dyDescent="0.2">
      <c r="A19" s="3" t="s">
        <v>69</v>
      </c>
      <c r="B19" s="3" t="s">
        <v>17</v>
      </c>
      <c r="C19" s="3" t="s">
        <v>70</v>
      </c>
      <c r="D19" s="3">
        <v>980</v>
      </c>
      <c r="E19" s="3">
        <v>10</v>
      </c>
      <c r="F19" s="3" t="s">
        <v>19</v>
      </c>
    </row>
    <row r="20" spans="1:6" ht="15.75" customHeight="1" x14ac:dyDescent="0.2">
      <c r="A20" s="1" t="s">
        <v>71</v>
      </c>
      <c r="B20" s="1" t="s">
        <v>72</v>
      </c>
      <c r="C20" s="1" t="s">
        <v>73</v>
      </c>
      <c r="D20" s="1">
        <v>150</v>
      </c>
      <c r="E20" s="1">
        <v>15</v>
      </c>
      <c r="F20" s="1" t="s">
        <v>23</v>
      </c>
    </row>
    <row r="21" spans="1:6" ht="15.75" customHeight="1" x14ac:dyDescent="0.2">
      <c r="A21" s="3" t="s">
        <v>74</v>
      </c>
      <c r="B21" s="3" t="s">
        <v>75</v>
      </c>
      <c r="C21" s="3" t="s">
        <v>76</v>
      </c>
      <c r="D21" s="3"/>
      <c r="E21" s="3">
        <v>10</v>
      </c>
      <c r="F21" s="3" t="s">
        <v>50</v>
      </c>
    </row>
    <row r="22" spans="1:6" ht="15.75" customHeight="1" x14ac:dyDescent="0.2">
      <c r="A22" s="1" t="s">
        <v>77</v>
      </c>
      <c r="B22" s="1" t="s">
        <v>78</v>
      </c>
      <c r="C22" s="1" t="s">
        <v>79</v>
      </c>
      <c r="D22" s="1">
        <v>700</v>
      </c>
      <c r="E22" s="1">
        <v>50</v>
      </c>
      <c r="F22" s="1" t="s">
        <v>19</v>
      </c>
    </row>
    <row r="23" spans="1:6" ht="15.75" customHeight="1" x14ac:dyDescent="0.2">
      <c r="A23" s="3" t="s">
        <v>80</v>
      </c>
      <c r="B23" s="3" t="s">
        <v>81</v>
      </c>
      <c r="C23" s="3" t="s">
        <v>82</v>
      </c>
      <c r="D23" s="3">
        <v>80</v>
      </c>
      <c r="E23" s="3">
        <v>20</v>
      </c>
      <c r="F23" s="3" t="s">
        <v>27</v>
      </c>
    </row>
    <row r="24" spans="1:6" ht="15.75" customHeight="1" x14ac:dyDescent="0.2">
      <c r="A24" s="1" t="s">
        <v>83</v>
      </c>
      <c r="B24" s="1" t="s">
        <v>84</v>
      </c>
      <c r="C24" s="1" t="s">
        <v>85</v>
      </c>
      <c r="D24" s="1">
        <v>150</v>
      </c>
      <c r="E24" s="1">
        <v>30</v>
      </c>
      <c r="F24" s="1"/>
    </row>
    <row r="25" spans="1:6" ht="15.75" customHeight="1" x14ac:dyDescent="0.2">
      <c r="A25" s="3" t="s">
        <v>63</v>
      </c>
      <c r="B25" s="3" t="s">
        <v>64</v>
      </c>
      <c r="C25" s="3" t="s">
        <v>65</v>
      </c>
      <c r="D25" s="3">
        <v>50</v>
      </c>
      <c r="E25" s="3">
        <v>35</v>
      </c>
      <c r="F25" s="3" t="s">
        <v>66</v>
      </c>
    </row>
    <row r="26" spans="1:6" ht="15.75" customHeight="1" x14ac:dyDescent="0.2">
      <c r="A26" s="1" t="s">
        <v>86</v>
      </c>
      <c r="B26" s="1" t="s">
        <v>87</v>
      </c>
      <c r="C26" s="1" t="s">
        <v>88</v>
      </c>
      <c r="D26" s="1">
        <v>800</v>
      </c>
      <c r="E26" s="1">
        <v>45</v>
      </c>
      <c r="F26" s="1" t="s">
        <v>19</v>
      </c>
    </row>
    <row r="27" spans="1:6" ht="15.75" customHeight="1" x14ac:dyDescent="0.2">
      <c r="A27" s="3" t="s">
        <v>89</v>
      </c>
      <c r="B27" s="3" t="s">
        <v>72</v>
      </c>
      <c r="C27" s="3" t="s">
        <v>90</v>
      </c>
      <c r="D27" s="3"/>
      <c r="E27" s="3">
        <v>25</v>
      </c>
      <c r="F27" s="3" t="s">
        <v>23</v>
      </c>
    </row>
    <row r="28" spans="1:6" ht="15.75" customHeight="1" x14ac:dyDescent="0.2">
      <c r="A28" s="1" t="s">
        <v>91</v>
      </c>
      <c r="B28" s="1" t="s">
        <v>42</v>
      </c>
      <c r="C28" s="1" t="s">
        <v>92</v>
      </c>
      <c r="D28" s="1">
        <v>400</v>
      </c>
      <c r="E28" s="1">
        <v>40</v>
      </c>
      <c r="F28" s="1" t="s">
        <v>27</v>
      </c>
    </row>
    <row r="29" spans="1:6" ht="15.75" customHeight="1" x14ac:dyDescent="0.2">
      <c r="A29" s="3" t="s">
        <v>60</v>
      </c>
      <c r="B29" s="3" t="s">
        <v>61</v>
      </c>
      <c r="C29" s="3" t="s">
        <v>62</v>
      </c>
      <c r="D29" s="3">
        <v>250</v>
      </c>
      <c r="E29" s="3">
        <v>20</v>
      </c>
      <c r="F29" s="3" t="s">
        <v>37</v>
      </c>
    </row>
    <row r="30" spans="1:6" ht="15.75" customHeight="1" x14ac:dyDescent="0.2">
      <c r="A30" s="1" t="s">
        <v>93</v>
      </c>
      <c r="B30" s="1" t="s">
        <v>94</v>
      </c>
      <c r="C30" s="1" t="s">
        <v>95</v>
      </c>
      <c r="D30" s="1">
        <v>60</v>
      </c>
      <c r="E30" s="1">
        <v>30</v>
      </c>
      <c r="F30" s="1" t="s">
        <v>23</v>
      </c>
    </row>
    <row r="31" spans="1:6" ht="15.75" customHeight="1" x14ac:dyDescent="0.2">
      <c r="A31" s="3" t="s">
        <v>96</v>
      </c>
      <c r="B31" s="3" t="s">
        <v>97</v>
      </c>
      <c r="C31" s="3" t="s">
        <v>98</v>
      </c>
      <c r="D31" s="3">
        <v>40</v>
      </c>
      <c r="E31" s="3">
        <v>10</v>
      </c>
      <c r="F31" s="3" t="s">
        <v>27</v>
      </c>
    </row>
    <row r="32" spans="1:6" ht="15.75" customHeight="1" x14ac:dyDescent="0.2">
      <c r="A32" s="1" t="s">
        <v>99</v>
      </c>
      <c r="B32" s="1" t="s">
        <v>84</v>
      </c>
      <c r="C32" s="1" t="s">
        <v>100</v>
      </c>
      <c r="D32" s="1">
        <v>130</v>
      </c>
      <c r="E32" s="1">
        <v>5</v>
      </c>
      <c r="F32" s="1" t="s">
        <v>19</v>
      </c>
    </row>
    <row r="33" spans="1:6" ht="15.75" customHeight="1" x14ac:dyDescent="0.2">
      <c r="A33" s="3" t="s">
        <v>101</v>
      </c>
      <c r="B33" s="3" t="s">
        <v>102</v>
      </c>
      <c r="C33" s="3" t="s">
        <v>103</v>
      </c>
      <c r="D33" s="3">
        <v>50</v>
      </c>
      <c r="E33" s="3">
        <v>50</v>
      </c>
      <c r="F33" s="3" t="s">
        <v>23</v>
      </c>
    </row>
    <row r="34" spans="1:6" ht="15.75" customHeight="1" x14ac:dyDescent="0.2">
      <c r="A34" s="1" t="s">
        <v>51</v>
      </c>
      <c r="B34" s="1" t="s">
        <v>52</v>
      </c>
      <c r="C34" s="1" t="s">
        <v>53</v>
      </c>
      <c r="D34" s="1">
        <v>950</v>
      </c>
      <c r="E34" s="1">
        <v>25</v>
      </c>
      <c r="F34" s="1" t="s">
        <v>19</v>
      </c>
    </row>
    <row r="35" spans="1:6" ht="15.75" customHeight="1" x14ac:dyDescent="0.2">
      <c r="A35" s="3" t="s">
        <v>104</v>
      </c>
      <c r="B35" s="3" t="s">
        <v>105</v>
      </c>
      <c r="C35" s="3" t="s">
        <v>106</v>
      </c>
      <c r="D35" s="3">
        <v>100</v>
      </c>
      <c r="E35" s="3">
        <v>20</v>
      </c>
      <c r="F35" s="3" t="s">
        <v>66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1BF6B-2003-4C51-B29D-77A8060029C0}">
  <sheetPr>
    <outlinePr summaryBelow="0" summaryRight="0"/>
  </sheetPr>
  <dimension ref="A2:V1004"/>
  <sheetViews>
    <sheetView tabSelected="1" topLeftCell="E1" zoomScale="75" zoomScaleNormal="75" workbookViewId="0">
      <pane ySplit="5" topLeftCell="A6" activePane="bottomLeft" state="frozen"/>
      <selection pane="bottomLeft" activeCell="H4" sqref="H4"/>
    </sheetView>
  </sheetViews>
  <sheetFormatPr defaultColWidth="12.5703125" defaultRowHeight="15" customHeight="1" x14ac:dyDescent="0.2"/>
  <cols>
    <col min="1" max="1" width="14.5703125" customWidth="1"/>
    <col min="2" max="2" width="24.85546875" customWidth="1"/>
    <col min="3" max="3" width="26.140625" bestFit="1" customWidth="1"/>
    <col min="4" max="4" width="18" bestFit="1" customWidth="1"/>
    <col min="5" max="5" width="21.7109375" bestFit="1" customWidth="1"/>
    <col min="6" max="6" width="15.7109375" customWidth="1"/>
    <col min="7" max="7" width="30.140625" bestFit="1" customWidth="1"/>
    <col min="8" max="8" width="30.140625" customWidth="1"/>
    <col min="9" max="9" width="16.85546875" bestFit="1" customWidth="1"/>
    <col min="10" max="10" width="17.42578125" customWidth="1"/>
    <col min="11" max="11" width="13.28515625" customWidth="1"/>
    <col min="12" max="13" width="12.5703125" customWidth="1"/>
    <col min="14" max="14" width="13.7109375" bestFit="1" customWidth="1"/>
    <col min="15" max="15" width="38.7109375" customWidth="1"/>
    <col min="16" max="16" width="19.28515625" customWidth="1"/>
    <col min="17" max="17" width="23.28515625" bestFit="1" customWidth="1"/>
  </cols>
  <sheetData>
    <row r="2" spans="1:22" ht="15" customHeight="1" x14ac:dyDescent="0.2">
      <c r="B2" s="5" t="s">
        <v>8</v>
      </c>
      <c r="C2" s="26" t="s">
        <v>5</v>
      </c>
      <c r="D2" s="26"/>
      <c r="E2" s="26"/>
      <c r="G2" s="5" t="s">
        <v>2</v>
      </c>
      <c r="H2" s="5"/>
      <c r="J2" s="5" t="s">
        <v>0</v>
      </c>
      <c r="K2" s="5"/>
      <c r="M2" s="5" t="s">
        <v>2</v>
      </c>
      <c r="Q2" s="5" t="s">
        <v>4</v>
      </c>
      <c r="R2" s="4"/>
    </row>
    <row r="3" spans="1:22" ht="93" customHeight="1" x14ac:dyDescent="0.2">
      <c r="B3" s="9" t="s">
        <v>9</v>
      </c>
      <c r="C3" s="25" t="s">
        <v>6</v>
      </c>
      <c r="D3" s="25"/>
      <c r="E3" s="6" t="s">
        <v>7</v>
      </c>
      <c r="G3" s="24" t="s">
        <v>116</v>
      </c>
      <c r="H3" s="24"/>
      <c r="J3" s="24" t="s">
        <v>1</v>
      </c>
      <c r="K3" s="25"/>
      <c r="M3" s="27" t="s">
        <v>3</v>
      </c>
      <c r="N3" s="27"/>
      <c r="O3" s="27"/>
      <c r="Q3" s="8" t="s">
        <v>112</v>
      </c>
    </row>
    <row r="4" spans="1:22" ht="168" customHeight="1" x14ac:dyDescent="0.2">
      <c r="J4" s="21" t="s">
        <v>120</v>
      </c>
      <c r="K4" s="21"/>
      <c r="O4" s="9" t="s">
        <v>121</v>
      </c>
      <c r="P4" s="9"/>
      <c r="Q4" s="22" t="s">
        <v>119</v>
      </c>
      <c r="R4" s="23"/>
    </row>
    <row r="5" spans="1:22" s="10" customFormat="1" ht="47.25" customHeight="1" x14ac:dyDescent="0.2">
      <c r="A5" s="11" t="s">
        <v>10</v>
      </c>
      <c r="B5" s="12" t="s">
        <v>113</v>
      </c>
      <c r="C5" s="12" t="s">
        <v>113</v>
      </c>
      <c r="D5" s="12" t="s">
        <v>114</v>
      </c>
      <c r="E5" s="12" t="s">
        <v>115</v>
      </c>
      <c r="F5" s="11" t="s">
        <v>11</v>
      </c>
      <c r="G5" s="13" t="s">
        <v>108</v>
      </c>
      <c r="H5" s="13" t="s">
        <v>110</v>
      </c>
      <c r="I5" s="11" t="s">
        <v>12</v>
      </c>
      <c r="J5" s="11" t="s">
        <v>13</v>
      </c>
      <c r="K5" s="13" t="s">
        <v>107</v>
      </c>
      <c r="L5" s="11" t="s">
        <v>14</v>
      </c>
      <c r="M5" s="11" t="s">
        <v>15</v>
      </c>
      <c r="N5" s="13" t="s">
        <v>15</v>
      </c>
      <c r="O5" s="13" t="s">
        <v>15</v>
      </c>
      <c r="P5" s="19"/>
      <c r="Q5" s="13" t="s">
        <v>11</v>
      </c>
      <c r="R5" s="13" t="s">
        <v>15</v>
      </c>
    </row>
    <row r="6" spans="1:22" ht="15.75" customHeight="1" x14ac:dyDescent="0.2">
      <c r="A6" s="14" t="s">
        <v>31</v>
      </c>
      <c r="B6" s="15" t="str">
        <f>TEXT(DATE(2025, MONTH(1 &amp; MID(A6,4,3)), LEFT(A6,2)), "DD-MM-YYYY")</f>
        <v>22-05-2025</v>
      </c>
      <c r="C6" s="14" t="str">
        <f t="shared" ref="C6:C36" si="0">LEFT(A6,6)</f>
        <v>22-MAY</v>
      </c>
      <c r="D6" s="14" t="str">
        <f t="shared" ref="D6:D36" si="1">RIGHT(A6,2)</f>
        <v>US</v>
      </c>
      <c r="E6" s="14" t="str">
        <f>_xlfn.CONCAT(H6," ",I6)</f>
        <v>Backpack North Face</v>
      </c>
      <c r="F6" s="14" t="s">
        <v>32</v>
      </c>
      <c r="G6" s="14" t="str">
        <f t="shared" ref="G6:G36" si="2">PROPER(F6)</f>
        <v>Backpack</v>
      </c>
      <c r="H6" s="14" t="s">
        <v>32</v>
      </c>
      <c r="I6" s="14" t="s">
        <v>33</v>
      </c>
      <c r="J6" s="14">
        <v>70</v>
      </c>
      <c r="K6" s="18">
        <f>IF(
  ISBLANK(J6 ),
  IFERROR(
    AVERAGEIFS(J:J, H:H, H6, J:J, "&lt;&gt;"),
    AVERAGEIFS(J:J, N:N, N6, J:J, "&lt;&gt;")
  ),
  J6
)</f>
        <v>70</v>
      </c>
      <c r="L6" s="14">
        <v>20</v>
      </c>
      <c r="M6" s="14"/>
      <c r="N6" s="14"/>
      <c r="O6" s="20" t="str">
        <f t="shared" ref="O6:O36" si="3">IF(
  ISBLANK(N6),
  _xlfn.XLOOKUP(H6, Q:Q, R:R, "Unknown"),
  N6
)</f>
        <v>Accessories</v>
      </c>
      <c r="Q6" s="14" t="s">
        <v>52</v>
      </c>
      <c r="R6" s="14" t="s">
        <v>19</v>
      </c>
      <c r="U6" s="17"/>
      <c r="V6" s="7"/>
    </row>
    <row r="7" spans="1:22" ht="15.75" customHeight="1" x14ac:dyDescent="0.2">
      <c r="A7" s="16" t="s">
        <v>41</v>
      </c>
      <c r="B7" s="15" t="str">
        <f t="shared" ref="B7:B36" si="4">TEXT(DATE(2025, MONTH(1 &amp; MID(A7,4,3)), LEFT(A7,2)), "DD-MM-YYYY")</f>
        <v>23-08-2025</v>
      </c>
      <c r="C7" s="14" t="str">
        <f t="shared" si="0"/>
        <v>23-AUG</v>
      </c>
      <c r="D7" s="14" t="str">
        <f t="shared" si="1"/>
        <v>UK</v>
      </c>
      <c r="E7" s="14" t="str">
        <f t="shared" ref="E7:E36" si="5">_xlfn.CONCAT(H7," ",I7)</f>
        <v>Blender Ninja</v>
      </c>
      <c r="F7" s="16" t="s">
        <v>42</v>
      </c>
      <c r="G7" s="14" t="str">
        <f t="shared" si="2"/>
        <v>Blender</v>
      </c>
      <c r="H7" s="14" t="s">
        <v>42</v>
      </c>
      <c r="I7" s="16" t="s">
        <v>43</v>
      </c>
      <c r="J7" s="16">
        <v>90</v>
      </c>
      <c r="K7" s="18">
        <f t="shared" ref="K7:K36" si="6">IF(
  ISBLANK(J7 ),
  IFERROR(
    AVERAGEIFS(J:J, H:H, H7, J:J, "&lt;&gt;"),
    AVERAGEIFS(J:J, N:N, N7, J:J, "&lt;&gt;")
  ),
  J7
)</f>
        <v>90</v>
      </c>
      <c r="L7" s="16">
        <v>35</v>
      </c>
      <c r="M7" s="16" t="s">
        <v>27</v>
      </c>
      <c r="N7" s="16" t="s">
        <v>27</v>
      </c>
      <c r="O7" s="20" t="str">
        <f t="shared" si="3"/>
        <v>Kitchen</v>
      </c>
      <c r="Q7" s="16" t="s">
        <v>117</v>
      </c>
      <c r="R7" s="16" t="s">
        <v>19</v>
      </c>
      <c r="U7" s="17"/>
      <c r="V7" s="7"/>
    </row>
    <row r="8" spans="1:22" ht="15.75" customHeight="1" x14ac:dyDescent="0.2">
      <c r="A8" s="14" t="s">
        <v>91</v>
      </c>
      <c r="B8" s="15" t="str">
        <f t="shared" si="4"/>
        <v>11-07-2025</v>
      </c>
      <c r="C8" s="14" t="str">
        <f t="shared" si="0"/>
        <v>11-JUL</v>
      </c>
      <c r="D8" s="14" t="str">
        <f t="shared" si="1"/>
        <v>CA</v>
      </c>
      <c r="E8" s="14" t="str">
        <f t="shared" si="5"/>
        <v>Blender Vitamix</v>
      </c>
      <c r="F8" s="14" t="s">
        <v>42</v>
      </c>
      <c r="G8" s="14" t="str">
        <f t="shared" si="2"/>
        <v>Blender</v>
      </c>
      <c r="H8" s="14" t="s">
        <v>42</v>
      </c>
      <c r="I8" s="14" t="s">
        <v>92</v>
      </c>
      <c r="J8" s="14">
        <v>400</v>
      </c>
      <c r="K8" s="18">
        <f t="shared" si="6"/>
        <v>400</v>
      </c>
      <c r="L8" s="14">
        <v>40</v>
      </c>
      <c r="M8" s="14" t="s">
        <v>27</v>
      </c>
      <c r="N8" s="14" t="s">
        <v>27</v>
      </c>
      <c r="O8" s="20" t="str">
        <f t="shared" si="3"/>
        <v>Kitchen</v>
      </c>
      <c r="Q8" s="14" t="s">
        <v>25</v>
      </c>
      <c r="R8" s="14" t="s">
        <v>27</v>
      </c>
      <c r="U8" s="17"/>
      <c r="V8" s="7"/>
    </row>
    <row r="9" spans="1:22" ht="15.75" customHeight="1" x14ac:dyDescent="0.2">
      <c r="A9" s="14" t="s">
        <v>77</v>
      </c>
      <c r="B9" s="15" t="str">
        <f t="shared" si="4"/>
        <v>14-05-2025</v>
      </c>
      <c r="C9" s="14" t="str">
        <f t="shared" si="0"/>
        <v>14-MAY</v>
      </c>
      <c r="D9" s="14" t="str">
        <f t="shared" si="1"/>
        <v>RU</v>
      </c>
      <c r="E9" s="14" t="str">
        <f t="shared" si="5"/>
        <v>Camera Nikon</v>
      </c>
      <c r="F9" s="14" t="s">
        <v>78</v>
      </c>
      <c r="G9" s="14" t="str">
        <f t="shared" si="2"/>
        <v>Camera</v>
      </c>
      <c r="H9" s="14" t="s">
        <v>78</v>
      </c>
      <c r="I9" s="14" t="s">
        <v>79</v>
      </c>
      <c r="J9" s="14">
        <v>700</v>
      </c>
      <c r="K9" s="18">
        <f t="shared" si="6"/>
        <v>700</v>
      </c>
      <c r="L9" s="14">
        <v>50</v>
      </c>
      <c r="M9" s="14" t="s">
        <v>19</v>
      </c>
      <c r="N9" s="14" t="s">
        <v>19</v>
      </c>
      <c r="O9" s="20" t="str">
        <f t="shared" si="3"/>
        <v>Electronics</v>
      </c>
      <c r="Q9" s="14" t="s">
        <v>21</v>
      </c>
      <c r="R9" s="14" t="s">
        <v>23</v>
      </c>
      <c r="U9" s="17"/>
      <c r="V9" s="7"/>
    </row>
    <row r="10" spans="1:22" ht="15.75" customHeight="1" x14ac:dyDescent="0.2">
      <c r="A10" s="16" t="s">
        <v>74</v>
      </c>
      <c r="B10" s="15" t="str">
        <f t="shared" si="4"/>
        <v>14-08-2025</v>
      </c>
      <c r="C10" s="14" t="str">
        <f t="shared" si="0"/>
        <v>14-AUG</v>
      </c>
      <c r="D10" s="14" t="str">
        <f t="shared" si="1"/>
        <v>US</v>
      </c>
      <c r="E10" s="14" t="str">
        <f t="shared" si="5"/>
        <v>Camping Tent Coleman</v>
      </c>
      <c r="F10" s="16" t="s">
        <v>75</v>
      </c>
      <c r="G10" s="14" t="str">
        <f t="shared" si="2"/>
        <v>Camping Tent</v>
      </c>
      <c r="H10" s="14" t="s">
        <v>75</v>
      </c>
      <c r="I10" s="16" t="s">
        <v>76</v>
      </c>
      <c r="J10" s="16"/>
      <c r="K10" s="18">
        <f t="shared" si="6"/>
        <v>130</v>
      </c>
      <c r="L10" s="16">
        <v>10</v>
      </c>
      <c r="M10" s="16" t="s">
        <v>50</v>
      </c>
      <c r="N10" s="16" t="s">
        <v>50</v>
      </c>
      <c r="O10" s="20" t="str">
        <f t="shared" si="3"/>
        <v>Outdoor</v>
      </c>
      <c r="Q10" s="16" t="s">
        <v>32</v>
      </c>
      <c r="R10" s="16" t="s">
        <v>66</v>
      </c>
      <c r="U10" s="17"/>
      <c r="V10" s="7"/>
    </row>
    <row r="11" spans="1:22" ht="15.75" customHeight="1" x14ac:dyDescent="0.2">
      <c r="A11" s="14" t="s">
        <v>24</v>
      </c>
      <c r="B11" s="15" t="str">
        <f t="shared" si="4"/>
        <v>03-03-2025</v>
      </c>
      <c r="C11" s="14" t="str">
        <f t="shared" si="0"/>
        <v>03-MAR</v>
      </c>
      <c r="D11" s="14" t="str">
        <f t="shared" si="1"/>
        <v>US</v>
      </c>
      <c r="E11" s="14" t="str">
        <f t="shared" si="5"/>
        <v>Coffee Maker Keurig</v>
      </c>
      <c r="F11" s="14" t="s">
        <v>25</v>
      </c>
      <c r="G11" s="14" t="str">
        <f t="shared" si="2"/>
        <v>Coffee Maker</v>
      </c>
      <c r="H11" s="14" t="s">
        <v>25</v>
      </c>
      <c r="I11" s="14" t="s">
        <v>26</v>
      </c>
      <c r="J11" s="14">
        <v>130</v>
      </c>
      <c r="K11" s="18">
        <f t="shared" si="6"/>
        <v>130</v>
      </c>
      <c r="L11" s="14">
        <v>40</v>
      </c>
      <c r="M11" s="14" t="s">
        <v>27</v>
      </c>
      <c r="N11" s="14" t="s">
        <v>27</v>
      </c>
      <c r="O11" s="20" t="str">
        <f t="shared" si="3"/>
        <v>Kitchen</v>
      </c>
      <c r="Q11" s="14" t="s">
        <v>111</v>
      </c>
      <c r="R11" s="14" t="s">
        <v>19</v>
      </c>
      <c r="U11" s="17"/>
      <c r="V11" s="7"/>
    </row>
    <row r="12" spans="1:22" ht="15.75" customHeight="1" x14ac:dyDescent="0.2">
      <c r="A12" s="14" t="s">
        <v>55</v>
      </c>
      <c r="B12" s="15" t="str">
        <f t="shared" si="4"/>
        <v>08-12-2025</v>
      </c>
      <c r="C12" s="14" t="str">
        <f t="shared" si="0"/>
        <v>08-DEC</v>
      </c>
      <c r="D12" s="14" t="str">
        <f t="shared" si="1"/>
        <v>DE</v>
      </c>
      <c r="E12" s="14" t="str">
        <f t="shared" si="5"/>
        <v>Coffee Maker Nespresso</v>
      </c>
      <c r="F12" s="14" t="s">
        <v>25</v>
      </c>
      <c r="G12" s="14" t="str">
        <f t="shared" si="2"/>
        <v>Coffee Maker</v>
      </c>
      <c r="H12" s="14" t="s">
        <v>25</v>
      </c>
      <c r="I12" s="14" t="s">
        <v>56</v>
      </c>
      <c r="J12" s="14">
        <v>120</v>
      </c>
      <c r="K12" s="18">
        <f t="shared" si="6"/>
        <v>120</v>
      </c>
      <c r="L12" s="14">
        <v>35</v>
      </c>
      <c r="M12" s="14"/>
      <c r="N12" s="14"/>
      <c r="O12" s="20" t="str">
        <f t="shared" si="3"/>
        <v>Kitchen</v>
      </c>
      <c r="Q12" s="14" t="s">
        <v>39</v>
      </c>
      <c r="R12" s="14" t="s">
        <v>23</v>
      </c>
      <c r="U12" s="17"/>
      <c r="V12" s="7"/>
    </row>
    <row r="13" spans="1:22" ht="15.75" customHeight="1" x14ac:dyDescent="0.2">
      <c r="A13" s="14" t="s">
        <v>93</v>
      </c>
      <c r="B13" s="15" t="str">
        <f t="shared" si="4"/>
        <v>07-03-2025</v>
      </c>
      <c r="C13" s="14" t="str">
        <f t="shared" si="0"/>
        <v>07-MAR</v>
      </c>
      <c r="D13" s="14" t="str">
        <f t="shared" si="1"/>
        <v>CA</v>
      </c>
      <c r="E13" s="14" t="str">
        <f t="shared" si="5"/>
        <v>Dress Zara</v>
      </c>
      <c r="F13" s="14" t="s">
        <v>94</v>
      </c>
      <c r="G13" s="14" t="str">
        <f t="shared" si="2"/>
        <v>Dress</v>
      </c>
      <c r="H13" s="14" t="s">
        <v>94</v>
      </c>
      <c r="I13" s="14" t="s">
        <v>95</v>
      </c>
      <c r="J13" s="14">
        <v>60</v>
      </c>
      <c r="K13" s="18">
        <f t="shared" si="6"/>
        <v>60</v>
      </c>
      <c r="L13" s="14">
        <v>30</v>
      </c>
      <c r="M13" s="14" t="s">
        <v>23</v>
      </c>
      <c r="N13" s="14" t="s">
        <v>23</v>
      </c>
      <c r="O13" s="20" t="str">
        <f t="shared" si="3"/>
        <v>Fashion</v>
      </c>
      <c r="Q13" s="14" t="s">
        <v>42</v>
      </c>
      <c r="R13" s="14" t="s">
        <v>27</v>
      </c>
      <c r="U13" s="17"/>
      <c r="V13" s="7"/>
    </row>
    <row r="14" spans="1:22" ht="15.75" customHeight="1" x14ac:dyDescent="0.2">
      <c r="A14" s="14" t="s">
        <v>99</v>
      </c>
      <c r="B14" s="15" t="str">
        <f t="shared" si="4"/>
        <v>24-05-2025</v>
      </c>
      <c r="C14" s="14" t="str">
        <f t="shared" si="0"/>
        <v>24-MAY</v>
      </c>
      <c r="D14" s="14" t="str">
        <f t="shared" si="1"/>
        <v>CA</v>
      </c>
      <c r="E14" s="14" t="str">
        <f t="shared" si="5"/>
        <v>Fitness Tracker Garmin</v>
      </c>
      <c r="F14" s="14" t="s">
        <v>84</v>
      </c>
      <c r="G14" s="14" t="str">
        <f t="shared" si="2"/>
        <v>Fitness Tracker</v>
      </c>
      <c r="H14" s="14" t="s">
        <v>84</v>
      </c>
      <c r="I14" s="14" t="s">
        <v>100</v>
      </c>
      <c r="J14" s="14">
        <v>130</v>
      </c>
      <c r="K14" s="18">
        <f t="shared" si="6"/>
        <v>130</v>
      </c>
      <c r="L14" s="14">
        <v>5</v>
      </c>
      <c r="M14" s="14" t="s">
        <v>19</v>
      </c>
      <c r="N14" s="14" t="s">
        <v>19</v>
      </c>
      <c r="O14" s="20" t="str">
        <f t="shared" si="3"/>
        <v>Electronics</v>
      </c>
      <c r="Q14" s="14" t="s">
        <v>45</v>
      </c>
      <c r="R14" s="14" t="s">
        <v>19</v>
      </c>
      <c r="U14" s="17"/>
      <c r="V14" s="7"/>
    </row>
    <row r="15" spans="1:22" ht="15.75" customHeight="1" x14ac:dyDescent="0.2">
      <c r="A15" s="14" t="s">
        <v>83</v>
      </c>
      <c r="B15" s="15" t="str">
        <f t="shared" si="4"/>
        <v>19-07-2025</v>
      </c>
      <c r="C15" s="14" t="str">
        <f t="shared" si="0"/>
        <v>19-JUL</v>
      </c>
      <c r="D15" s="14" t="str">
        <f t="shared" si="1"/>
        <v>BR</v>
      </c>
      <c r="E15" s="14" t="str">
        <f t="shared" si="5"/>
        <v>Fitness Tracker Xiaomi</v>
      </c>
      <c r="F15" s="14" t="s">
        <v>84</v>
      </c>
      <c r="G15" s="14" t="str">
        <f t="shared" si="2"/>
        <v>Fitness Tracker</v>
      </c>
      <c r="H15" s="14" t="s">
        <v>84</v>
      </c>
      <c r="I15" s="14" t="s">
        <v>85</v>
      </c>
      <c r="J15" s="14">
        <v>150</v>
      </c>
      <c r="K15" s="18">
        <f t="shared" si="6"/>
        <v>150</v>
      </c>
      <c r="L15" s="14">
        <v>30</v>
      </c>
      <c r="M15" s="14"/>
      <c r="N15" s="14"/>
      <c r="O15" s="20" t="str">
        <f t="shared" si="3"/>
        <v>Electronics</v>
      </c>
      <c r="Q15" s="14" t="s">
        <v>48</v>
      </c>
      <c r="R15" s="14" t="s">
        <v>50</v>
      </c>
      <c r="U15" s="17"/>
      <c r="V15" s="7"/>
    </row>
    <row r="16" spans="1:22" ht="15.75" customHeight="1" x14ac:dyDescent="0.2">
      <c r="A16" s="16" t="s">
        <v>34</v>
      </c>
      <c r="B16" s="15" t="str">
        <f t="shared" si="4"/>
        <v>07-06-2025</v>
      </c>
      <c r="C16" s="14" t="str">
        <f t="shared" si="0"/>
        <v>07-JUN</v>
      </c>
      <c r="D16" s="14" t="str">
        <f t="shared" si="1"/>
        <v>UK</v>
      </c>
      <c r="E16" s="14" t="str">
        <f t="shared" si="5"/>
        <v>Head Phones Sony</v>
      </c>
      <c r="F16" s="16" t="s">
        <v>35</v>
      </c>
      <c r="G16" s="14" t="str">
        <f t="shared" si="2"/>
        <v>Headphones</v>
      </c>
      <c r="H16" s="14" t="s">
        <v>111</v>
      </c>
      <c r="I16" s="16" t="s">
        <v>36</v>
      </c>
      <c r="J16" s="16"/>
      <c r="K16" s="18">
        <f t="shared" si="6"/>
        <v>250</v>
      </c>
      <c r="L16" s="16">
        <v>45</v>
      </c>
      <c r="M16" s="16" t="s">
        <v>37</v>
      </c>
      <c r="N16" s="16" t="s">
        <v>19</v>
      </c>
      <c r="O16" s="20" t="str">
        <f t="shared" si="3"/>
        <v>Electronics</v>
      </c>
      <c r="Q16" s="16" t="s">
        <v>72</v>
      </c>
      <c r="R16" s="16" t="s">
        <v>23</v>
      </c>
      <c r="U16" s="17"/>
      <c r="V16" s="7"/>
    </row>
    <row r="17" spans="1:22" ht="15.75" customHeight="1" x14ac:dyDescent="0.2">
      <c r="A17" s="14" t="s">
        <v>60</v>
      </c>
      <c r="B17" s="15" t="str">
        <f t="shared" si="4"/>
        <v>16-04-2025</v>
      </c>
      <c r="C17" s="14" t="str">
        <f t="shared" si="0"/>
        <v>16-APR</v>
      </c>
      <c r="D17" s="14" t="str">
        <f t="shared" si="1"/>
        <v>ES</v>
      </c>
      <c r="E17" s="14" t="str">
        <f t="shared" si="5"/>
        <v>Head Phones Bose</v>
      </c>
      <c r="F17" s="14" t="s">
        <v>61</v>
      </c>
      <c r="G17" s="14" t="str">
        <f t="shared" si="2"/>
        <v>Headphones</v>
      </c>
      <c r="H17" s="14" t="s">
        <v>111</v>
      </c>
      <c r="I17" s="14" t="s">
        <v>62</v>
      </c>
      <c r="J17" s="14">
        <v>250</v>
      </c>
      <c r="K17" s="18">
        <f t="shared" si="6"/>
        <v>250</v>
      </c>
      <c r="L17" s="14">
        <v>20</v>
      </c>
      <c r="M17" s="14" t="s">
        <v>37</v>
      </c>
      <c r="N17" s="14" t="s">
        <v>19</v>
      </c>
      <c r="O17" s="20" t="str">
        <f t="shared" si="3"/>
        <v>Electronics</v>
      </c>
      <c r="Q17" s="14" t="s">
        <v>75</v>
      </c>
      <c r="R17" s="14" t="s">
        <v>50</v>
      </c>
      <c r="U17" s="17"/>
      <c r="V17" s="7"/>
    </row>
    <row r="18" spans="1:22" ht="15.75" customHeight="1" x14ac:dyDescent="0.2">
      <c r="A18" s="16" t="s">
        <v>47</v>
      </c>
      <c r="B18" s="15" t="str">
        <f t="shared" si="4"/>
        <v>14-10-2025</v>
      </c>
      <c r="C18" s="14" t="str">
        <f t="shared" si="0"/>
        <v>14-OCT</v>
      </c>
      <c r="D18" s="14" t="str">
        <f t="shared" si="1"/>
        <v>UK</v>
      </c>
      <c r="E18" s="14" t="str">
        <f t="shared" si="5"/>
        <v>Hiking Boots Timberland</v>
      </c>
      <c r="F18" s="16" t="s">
        <v>48</v>
      </c>
      <c r="G18" s="14" t="str">
        <f t="shared" si="2"/>
        <v>Hiking Boots</v>
      </c>
      <c r="H18" s="14" t="s">
        <v>48</v>
      </c>
      <c r="I18" s="16" t="s">
        <v>49</v>
      </c>
      <c r="J18" s="16">
        <v>130</v>
      </c>
      <c r="K18" s="18">
        <f t="shared" si="6"/>
        <v>130</v>
      </c>
      <c r="L18" s="16">
        <v>10</v>
      </c>
      <c r="M18" s="16" t="s">
        <v>50</v>
      </c>
      <c r="N18" s="16" t="s">
        <v>50</v>
      </c>
      <c r="O18" s="20" t="str">
        <f t="shared" si="3"/>
        <v>Outdoor</v>
      </c>
      <c r="Q18" s="16" t="s">
        <v>78</v>
      </c>
      <c r="R18" s="16" t="s">
        <v>19</v>
      </c>
      <c r="U18" s="17"/>
      <c r="V18" s="7"/>
    </row>
    <row r="19" spans="1:22" ht="15.75" customHeight="1" x14ac:dyDescent="0.2">
      <c r="A19" s="16" t="s">
        <v>101</v>
      </c>
      <c r="B19" s="15" t="str">
        <f t="shared" si="4"/>
        <v>02-12-2025</v>
      </c>
      <c r="C19" s="14" t="str">
        <f t="shared" si="0"/>
        <v>02-DEC</v>
      </c>
      <c r="D19" s="14" t="str">
        <f t="shared" si="1"/>
        <v>CA</v>
      </c>
      <c r="E19" s="14" t="str">
        <f t="shared" si="5"/>
        <v>Jeans Levi's</v>
      </c>
      <c r="F19" s="16" t="s">
        <v>102</v>
      </c>
      <c r="G19" s="14" t="str">
        <f t="shared" si="2"/>
        <v>Jeans</v>
      </c>
      <c r="H19" s="14" t="s">
        <v>102</v>
      </c>
      <c r="I19" s="16" t="s">
        <v>103</v>
      </c>
      <c r="J19" s="16">
        <v>50</v>
      </c>
      <c r="K19" s="18">
        <f t="shared" si="6"/>
        <v>50</v>
      </c>
      <c r="L19" s="16">
        <v>50</v>
      </c>
      <c r="M19" s="16" t="s">
        <v>23</v>
      </c>
      <c r="N19" s="16" t="s">
        <v>23</v>
      </c>
      <c r="O19" s="20" t="str">
        <f t="shared" si="3"/>
        <v>Fashion</v>
      </c>
      <c r="Q19" s="16" t="s">
        <v>81</v>
      </c>
      <c r="R19" s="16" t="s">
        <v>27</v>
      </c>
      <c r="U19" s="17"/>
      <c r="V19" s="7"/>
    </row>
    <row r="20" spans="1:22" ht="15.75" customHeight="1" x14ac:dyDescent="0.2">
      <c r="A20" s="14" t="s">
        <v>16</v>
      </c>
      <c r="B20" s="15" t="str">
        <f t="shared" si="4"/>
        <v>28-01-2025</v>
      </c>
      <c r="C20" s="14" t="str">
        <f t="shared" si="0"/>
        <v>28-JAN</v>
      </c>
      <c r="D20" s="14" t="str">
        <f t="shared" si="1"/>
        <v>US</v>
      </c>
      <c r="E20" s="14" t="str">
        <f t="shared" si="5"/>
        <v>Laptop Dell</v>
      </c>
      <c r="F20" s="14" t="s">
        <v>17</v>
      </c>
      <c r="G20" s="14" t="str">
        <f t="shared" si="2"/>
        <v>Laptop</v>
      </c>
      <c r="H20" s="14" t="s">
        <v>52</v>
      </c>
      <c r="I20" s="14" t="s">
        <v>18</v>
      </c>
      <c r="J20" s="14">
        <v>1000</v>
      </c>
      <c r="K20" s="18">
        <f t="shared" si="6"/>
        <v>1000</v>
      </c>
      <c r="L20" s="14">
        <v>30</v>
      </c>
      <c r="M20" s="14" t="s">
        <v>19</v>
      </c>
      <c r="N20" s="14" t="s">
        <v>19</v>
      </c>
      <c r="O20" s="20" t="str">
        <f t="shared" si="3"/>
        <v>Electronics</v>
      </c>
      <c r="Q20" s="14" t="s">
        <v>84</v>
      </c>
      <c r="R20" s="14" t="s">
        <v>19</v>
      </c>
      <c r="U20" s="17"/>
      <c r="V20" s="7"/>
    </row>
    <row r="21" spans="1:22" ht="15.75" customHeight="1" x14ac:dyDescent="0.2">
      <c r="A21" s="14" t="s">
        <v>51</v>
      </c>
      <c r="B21" s="15" t="str">
        <f t="shared" si="4"/>
        <v>17-06-2025</v>
      </c>
      <c r="C21" s="14" t="str">
        <f t="shared" si="0"/>
        <v>17-JUN</v>
      </c>
      <c r="D21" s="14" t="str">
        <f t="shared" si="1"/>
        <v>IN</v>
      </c>
      <c r="E21" s="14" t="str">
        <f t="shared" si="5"/>
        <v>Laptop HP</v>
      </c>
      <c r="F21" s="14" t="s">
        <v>52</v>
      </c>
      <c r="G21" s="14" t="str">
        <f t="shared" si="2"/>
        <v>Laptop</v>
      </c>
      <c r="H21" s="14" t="s">
        <v>52</v>
      </c>
      <c r="I21" s="14" t="s">
        <v>53</v>
      </c>
      <c r="J21" s="14">
        <v>950</v>
      </c>
      <c r="K21" s="18">
        <f t="shared" si="6"/>
        <v>950</v>
      </c>
      <c r="L21" s="14">
        <v>25</v>
      </c>
      <c r="M21" s="14" t="s">
        <v>19</v>
      </c>
      <c r="N21" s="14" t="s">
        <v>19</v>
      </c>
      <c r="O21" s="20" t="str">
        <f t="shared" si="3"/>
        <v>Electronics</v>
      </c>
      <c r="Q21" s="14" t="s">
        <v>118</v>
      </c>
      <c r="R21" s="14" t="s">
        <v>19</v>
      </c>
      <c r="U21" s="17"/>
      <c r="V21" s="7"/>
    </row>
    <row r="22" spans="1:22" ht="15.75" customHeight="1" x14ac:dyDescent="0.2">
      <c r="A22" s="16" t="s">
        <v>69</v>
      </c>
      <c r="B22" s="15" t="str">
        <f t="shared" si="4"/>
        <v>27-01-2025</v>
      </c>
      <c r="C22" s="14" t="str">
        <f t="shared" si="0"/>
        <v>27-JAN</v>
      </c>
      <c r="D22" s="14" t="str">
        <f t="shared" si="1"/>
        <v>IT</v>
      </c>
      <c r="E22" s="14" t="str">
        <f t="shared" si="5"/>
        <v>Laptop Asus</v>
      </c>
      <c r="F22" s="16" t="s">
        <v>17</v>
      </c>
      <c r="G22" s="14" t="str">
        <f t="shared" si="2"/>
        <v>Laptop</v>
      </c>
      <c r="H22" s="14" t="s">
        <v>52</v>
      </c>
      <c r="I22" s="16" t="s">
        <v>70</v>
      </c>
      <c r="J22" s="16">
        <v>980</v>
      </c>
      <c r="K22" s="18">
        <f t="shared" si="6"/>
        <v>980</v>
      </c>
      <c r="L22" s="16">
        <v>10</v>
      </c>
      <c r="M22" s="16" t="s">
        <v>19</v>
      </c>
      <c r="N22" s="16" t="s">
        <v>19</v>
      </c>
      <c r="O22" s="20" t="str">
        <f t="shared" si="3"/>
        <v>Electronics</v>
      </c>
      <c r="Q22" s="16" t="s">
        <v>64</v>
      </c>
      <c r="R22" s="16" t="s">
        <v>66</v>
      </c>
      <c r="U22" s="17"/>
      <c r="V22" s="7"/>
    </row>
    <row r="23" spans="1:22" ht="15.75" customHeight="1" x14ac:dyDescent="0.2">
      <c r="A23" s="16" t="s">
        <v>63</v>
      </c>
      <c r="B23" s="15" t="str">
        <f t="shared" si="4"/>
        <v>21-08-2025</v>
      </c>
      <c r="C23" s="14" t="str">
        <f t="shared" si="0"/>
        <v>21-AUG</v>
      </c>
      <c r="D23" s="14" t="str">
        <f t="shared" si="1"/>
        <v>CA</v>
      </c>
      <c r="E23" s="14" t="str">
        <f t="shared" si="5"/>
        <v>Laptop Bag Samsonite</v>
      </c>
      <c r="F23" s="16" t="s">
        <v>64</v>
      </c>
      <c r="G23" s="14" t="str">
        <f t="shared" si="2"/>
        <v>Laptop Bag</v>
      </c>
      <c r="H23" s="14" t="s">
        <v>64</v>
      </c>
      <c r="I23" s="16" t="s">
        <v>65</v>
      </c>
      <c r="J23" s="16">
        <v>50</v>
      </c>
      <c r="K23" s="18">
        <f>IF(
  ISBLANK(J23 ),
  IFERROR(
    AVERAGEIFS(J:J, H:H, H23, J:J, "&lt;&gt;"),
    AVERAGEIFS(J:J, N:N, N23, J:J, "&lt;&gt;")
  ),
  J23
)</f>
        <v>50</v>
      </c>
      <c r="L23" s="16">
        <v>35</v>
      </c>
      <c r="M23" s="16" t="s">
        <v>66</v>
      </c>
      <c r="N23" s="16" t="s">
        <v>66</v>
      </c>
      <c r="O23" s="20" t="str">
        <f t="shared" si="3"/>
        <v>Accessories</v>
      </c>
      <c r="Q23" s="16" t="s">
        <v>94</v>
      </c>
      <c r="R23" s="16" t="s">
        <v>23</v>
      </c>
      <c r="U23" s="17"/>
      <c r="V23" s="7"/>
    </row>
    <row r="24" spans="1:22" ht="15.75" customHeight="1" x14ac:dyDescent="0.2">
      <c r="A24" s="16" t="s">
        <v>80</v>
      </c>
      <c r="B24" s="15" t="str">
        <f t="shared" si="4"/>
        <v>09-01-2025</v>
      </c>
      <c r="C24" s="14" t="str">
        <f t="shared" si="0"/>
        <v>09-JAN</v>
      </c>
      <c r="D24" s="14" t="str">
        <f t="shared" si="1"/>
        <v>CA</v>
      </c>
      <c r="E24" s="14" t="str">
        <f t="shared" si="5"/>
        <v>Microwave Panasonic</v>
      </c>
      <c r="F24" s="16" t="s">
        <v>81</v>
      </c>
      <c r="G24" s="14" t="str">
        <f t="shared" si="2"/>
        <v>Microwave</v>
      </c>
      <c r="H24" s="14" t="s">
        <v>81</v>
      </c>
      <c r="I24" s="16" t="s">
        <v>82</v>
      </c>
      <c r="J24" s="16">
        <v>80</v>
      </c>
      <c r="K24" s="18">
        <f t="shared" si="6"/>
        <v>80</v>
      </c>
      <c r="L24" s="16">
        <v>20</v>
      </c>
      <c r="M24" s="16" t="s">
        <v>27</v>
      </c>
      <c r="N24" s="16" t="s">
        <v>27</v>
      </c>
      <c r="O24" s="20" t="str">
        <f t="shared" si="3"/>
        <v>Kitchen</v>
      </c>
      <c r="Q24" s="16" t="s">
        <v>97</v>
      </c>
      <c r="R24" s="16" t="s">
        <v>27</v>
      </c>
      <c r="U24" s="17"/>
      <c r="V24" s="7"/>
    </row>
    <row r="25" spans="1:22" ht="15.75" customHeight="1" x14ac:dyDescent="0.2">
      <c r="A25" s="16" t="s">
        <v>28</v>
      </c>
      <c r="B25" s="15" t="str">
        <f t="shared" si="4"/>
        <v>11-04-2025</v>
      </c>
      <c r="C25" s="14" t="str">
        <f t="shared" si="0"/>
        <v>11-APR</v>
      </c>
      <c r="D25" s="14" t="str">
        <f t="shared" si="1"/>
        <v>US</v>
      </c>
      <c r="E25" s="14" t="str">
        <f t="shared" si="5"/>
        <v>Smart Phone Samsung</v>
      </c>
      <c r="F25" s="16" t="s">
        <v>29</v>
      </c>
      <c r="G25" s="14" t="str">
        <f t="shared" si="2"/>
        <v>Smartphone</v>
      </c>
      <c r="H25" s="14" t="s">
        <v>117</v>
      </c>
      <c r="I25" s="16" t="s">
        <v>30</v>
      </c>
      <c r="J25" s="16">
        <v>900</v>
      </c>
      <c r="K25" s="18">
        <f t="shared" si="6"/>
        <v>900</v>
      </c>
      <c r="L25" s="16">
        <v>25</v>
      </c>
      <c r="M25" s="16" t="s">
        <v>19</v>
      </c>
      <c r="N25" s="16" t="s">
        <v>19</v>
      </c>
      <c r="O25" s="20" t="str">
        <f t="shared" si="3"/>
        <v>Electronics</v>
      </c>
      <c r="Q25" s="16" t="s">
        <v>102</v>
      </c>
      <c r="R25" s="16" t="s">
        <v>23</v>
      </c>
      <c r="U25" s="17"/>
      <c r="V25" s="7"/>
    </row>
    <row r="26" spans="1:22" ht="15.75" customHeight="1" x14ac:dyDescent="0.2">
      <c r="A26" s="14" t="s">
        <v>86</v>
      </c>
      <c r="B26" s="15" t="str">
        <f t="shared" si="4"/>
        <v>29-09-2025</v>
      </c>
      <c r="C26" s="14" t="str">
        <f t="shared" si="0"/>
        <v>29-SEP</v>
      </c>
      <c r="D26" s="14" t="str">
        <f t="shared" si="1"/>
        <v>CA</v>
      </c>
      <c r="E26" s="14" t="str">
        <f t="shared" si="5"/>
        <v>Smart Phone Google</v>
      </c>
      <c r="F26" s="14" t="s">
        <v>87</v>
      </c>
      <c r="G26" s="14" t="str">
        <f t="shared" si="2"/>
        <v>Smartphone</v>
      </c>
      <c r="H26" s="14" t="s">
        <v>117</v>
      </c>
      <c r="I26" s="14" t="s">
        <v>88</v>
      </c>
      <c r="J26" s="14">
        <v>800</v>
      </c>
      <c r="K26" s="18">
        <f t="shared" si="6"/>
        <v>800</v>
      </c>
      <c r="L26" s="14">
        <v>45</v>
      </c>
      <c r="M26" s="14" t="s">
        <v>19</v>
      </c>
      <c r="N26" s="14" t="s">
        <v>19</v>
      </c>
      <c r="O26" s="20" t="str">
        <f t="shared" si="3"/>
        <v>Electronics</v>
      </c>
      <c r="Q26" s="14" t="s">
        <v>105</v>
      </c>
      <c r="R26" s="14" t="s">
        <v>66</v>
      </c>
      <c r="U26" s="17"/>
      <c r="V26" s="7"/>
    </row>
    <row r="27" spans="1:22" ht="15.75" customHeight="1" x14ac:dyDescent="0.2">
      <c r="A27" s="16" t="s">
        <v>57</v>
      </c>
      <c r="B27" s="15" t="str">
        <f t="shared" si="4"/>
        <v>18-02-2025</v>
      </c>
      <c r="C27" s="14" t="str">
        <f t="shared" si="0"/>
        <v>18-FEB</v>
      </c>
      <c r="D27" s="14" t="str">
        <f t="shared" si="1"/>
        <v>CA</v>
      </c>
      <c r="E27" s="14" t="str">
        <f t="shared" si="5"/>
        <v>Smart Watch Fitbit</v>
      </c>
      <c r="F27" s="16" t="s">
        <v>58</v>
      </c>
      <c r="G27" s="14" t="str">
        <f t="shared" si="2"/>
        <v>Smartwatch</v>
      </c>
      <c r="H27" s="14" t="s">
        <v>118</v>
      </c>
      <c r="I27" s="16" t="s">
        <v>59</v>
      </c>
      <c r="J27" s="16">
        <v>150</v>
      </c>
      <c r="K27" s="18">
        <f t="shared" si="6"/>
        <v>150</v>
      </c>
      <c r="L27" s="16">
        <v>15</v>
      </c>
      <c r="M27" s="16" t="s">
        <v>37</v>
      </c>
      <c r="N27" s="16" t="s">
        <v>19</v>
      </c>
      <c r="O27" s="20" t="str">
        <f t="shared" si="3"/>
        <v>Electronics</v>
      </c>
      <c r="U27" s="17"/>
      <c r="V27" s="7"/>
    </row>
    <row r="28" spans="1:22" ht="15.75" customHeight="1" x14ac:dyDescent="0.2">
      <c r="A28" s="14" t="s">
        <v>67</v>
      </c>
      <c r="B28" s="15" t="str">
        <f t="shared" si="4"/>
        <v>20-08-2025</v>
      </c>
      <c r="C28" s="14" t="str">
        <f t="shared" si="0"/>
        <v>20-AUG</v>
      </c>
      <c r="D28" s="14" t="str">
        <f t="shared" si="1"/>
        <v>CN</v>
      </c>
      <c r="E28" s="14" t="str">
        <f t="shared" si="5"/>
        <v>Smart Watch Huawei</v>
      </c>
      <c r="F28" s="14" t="s">
        <v>58</v>
      </c>
      <c r="G28" s="14" t="str">
        <f t="shared" si="2"/>
        <v>Smartwatch</v>
      </c>
      <c r="H28" s="14" t="s">
        <v>118</v>
      </c>
      <c r="I28" s="14" t="s">
        <v>68</v>
      </c>
      <c r="J28" s="14">
        <v>160</v>
      </c>
      <c r="K28" s="18">
        <f t="shared" si="6"/>
        <v>160</v>
      </c>
      <c r="L28" s="14">
        <v>15</v>
      </c>
      <c r="M28" s="14" t="s">
        <v>37</v>
      </c>
      <c r="N28" s="14" t="s">
        <v>19</v>
      </c>
      <c r="O28" s="20" t="str">
        <f t="shared" si="3"/>
        <v>Electronics</v>
      </c>
      <c r="U28" s="17"/>
      <c r="V28" s="7"/>
    </row>
    <row r="29" spans="1:22" ht="15.75" customHeight="1" x14ac:dyDescent="0.2">
      <c r="A29" s="16" t="s">
        <v>20</v>
      </c>
      <c r="B29" s="15" t="str">
        <f t="shared" si="4"/>
        <v>15-02-2025</v>
      </c>
      <c r="C29" s="14" t="str">
        <f t="shared" si="0"/>
        <v>15-FEB</v>
      </c>
      <c r="D29" s="14" t="str">
        <f t="shared" si="1"/>
        <v>US</v>
      </c>
      <c r="E29" s="14" t="str">
        <f t="shared" si="5"/>
        <v>Sneakers Nike</v>
      </c>
      <c r="F29" s="16" t="s">
        <v>21</v>
      </c>
      <c r="G29" s="14" t="str">
        <f t="shared" si="2"/>
        <v>Sneakers</v>
      </c>
      <c r="H29" s="14" t="s">
        <v>21</v>
      </c>
      <c r="I29" s="16" t="s">
        <v>22</v>
      </c>
      <c r="J29" s="16">
        <v>80</v>
      </c>
      <c r="K29" s="18">
        <f t="shared" si="6"/>
        <v>80</v>
      </c>
      <c r="L29" s="16">
        <v>15</v>
      </c>
      <c r="M29" s="16" t="s">
        <v>23</v>
      </c>
      <c r="N29" s="16" t="s">
        <v>23</v>
      </c>
      <c r="O29" s="20" t="str">
        <f t="shared" si="3"/>
        <v>Fashion</v>
      </c>
      <c r="U29" s="17"/>
      <c r="V29" s="7"/>
    </row>
    <row r="30" spans="1:22" ht="15.75" customHeight="1" x14ac:dyDescent="0.2">
      <c r="A30" s="16" t="s">
        <v>54</v>
      </c>
      <c r="B30" s="15" t="str">
        <f t="shared" si="4"/>
        <v>25-11-2025</v>
      </c>
      <c r="C30" s="14" t="str">
        <f t="shared" si="0"/>
        <v>25-NOV</v>
      </c>
      <c r="D30" s="14" t="str">
        <f t="shared" si="1"/>
        <v>AU</v>
      </c>
      <c r="E30" s="14" t="str">
        <f t="shared" si="5"/>
        <v>Sneakers Adidas</v>
      </c>
      <c r="F30" s="16" t="s">
        <v>21</v>
      </c>
      <c r="G30" s="14" t="str">
        <f t="shared" si="2"/>
        <v>Sneakers</v>
      </c>
      <c r="H30" s="14" t="s">
        <v>21</v>
      </c>
      <c r="I30" s="16" t="s">
        <v>40</v>
      </c>
      <c r="J30" s="16">
        <v>90</v>
      </c>
      <c r="K30" s="18">
        <f t="shared" si="6"/>
        <v>90</v>
      </c>
      <c r="L30" s="16">
        <v>40</v>
      </c>
      <c r="M30" s="16"/>
      <c r="N30" s="16"/>
      <c r="O30" s="20" t="str">
        <f t="shared" si="3"/>
        <v>Fashion</v>
      </c>
      <c r="U30" s="17"/>
      <c r="V30" s="7"/>
    </row>
    <row r="31" spans="1:22" ht="15.75" customHeight="1" x14ac:dyDescent="0.2">
      <c r="A31" s="14" t="s">
        <v>71</v>
      </c>
      <c r="B31" s="15" t="str">
        <f t="shared" si="4"/>
        <v>01-03-2025</v>
      </c>
      <c r="C31" s="14" t="str">
        <f t="shared" si="0"/>
        <v>01-MAR</v>
      </c>
      <c r="D31" s="14" t="str">
        <f t="shared" si="1"/>
        <v>UK</v>
      </c>
      <c r="E31" s="14" t="str">
        <f t="shared" si="5"/>
        <v>Sunglasses Oakley</v>
      </c>
      <c r="F31" s="14" t="s">
        <v>72</v>
      </c>
      <c r="G31" s="14" t="str">
        <f t="shared" si="2"/>
        <v>Sunglasses</v>
      </c>
      <c r="H31" s="14" t="s">
        <v>72</v>
      </c>
      <c r="I31" s="14" t="s">
        <v>73</v>
      </c>
      <c r="J31" s="14">
        <v>150</v>
      </c>
      <c r="K31" s="18">
        <f t="shared" si="6"/>
        <v>150</v>
      </c>
      <c r="L31" s="14">
        <v>15</v>
      </c>
      <c r="M31" s="14" t="s">
        <v>23</v>
      </c>
      <c r="N31" s="14" t="s">
        <v>23</v>
      </c>
      <c r="O31" s="20" t="str">
        <f t="shared" si="3"/>
        <v>Fashion</v>
      </c>
      <c r="U31" s="17"/>
      <c r="V31" s="7"/>
    </row>
    <row r="32" spans="1:22" ht="15.75" customHeight="1" x14ac:dyDescent="0.2">
      <c r="A32" s="16" t="s">
        <v>89</v>
      </c>
      <c r="B32" s="15" t="str">
        <f t="shared" si="4"/>
        <v>03-06-2025</v>
      </c>
      <c r="C32" s="14" t="str">
        <f t="shared" si="0"/>
        <v>03-JUN</v>
      </c>
      <c r="D32" s="14" t="str">
        <f t="shared" si="1"/>
        <v>CA</v>
      </c>
      <c r="E32" s="14" t="str">
        <f t="shared" si="5"/>
        <v>Sunglasses Ray-Ban</v>
      </c>
      <c r="F32" s="16" t="s">
        <v>72</v>
      </c>
      <c r="G32" s="14" t="str">
        <f t="shared" si="2"/>
        <v>Sunglasses</v>
      </c>
      <c r="H32" s="14" t="s">
        <v>72</v>
      </c>
      <c r="I32" s="16" t="s">
        <v>90</v>
      </c>
      <c r="J32" s="16"/>
      <c r="K32" s="18">
        <f t="shared" si="6"/>
        <v>150</v>
      </c>
      <c r="L32" s="16">
        <v>25</v>
      </c>
      <c r="M32" s="16" t="s">
        <v>23</v>
      </c>
      <c r="N32" s="16" t="s">
        <v>23</v>
      </c>
      <c r="O32" s="20" t="str">
        <f t="shared" si="3"/>
        <v>Fashion</v>
      </c>
      <c r="U32" s="17"/>
      <c r="V32" s="7"/>
    </row>
    <row r="33" spans="1:22" ht="15.75" customHeight="1" x14ac:dyDescent="0.2">
      <c r="A33" s="14" t="s">
        <v>44</v>
      </c>
      <c r="B33" s="15" t="str">
        <f t="shared" si="4"/>
        <v>05-09-2025</v>
      </c>
      <c r="C33" s="14" t="str">
        <f t="shared" si="0"/>
        <v>05-SEP</v>
      </c>
      <c r="D33" s="14" t="str">
        <f t="shared" si="1"/>
        <v>UK</v>
      </c>
      <c r="E33" s="14" t="str">
        <f t="shared" si="5"/>
        <v>Tablet Apple</v>
      </c>
      <c r="F33" s="14" t="s">
        <v>45</v>
      </c>
      <c r="G33" s="14" t="str">
        <f t="shared" si="2"/>
        <v>Tablet</v>
      </c>
      <c r="H33" s="14" t="s">
        <v>45</v>
      </c>
      <c r="I33" s="14" t="s">
        <v>46</v>
      </c>
      <c r="J33" s="14">
        <v>500</v>
      </c>
      <c r="K33" s="18">
        <f t="shared" si="6"/>
        <v>500</v>
      </c>
      <c r="L33" s="14">
        <v>50</v>
      </c>
      <c r="M33" s="14" t="s">
        <v>19</v>
      </c>
      <c r="N33" s="14" t="s">
        <v>19</v>
      </c>
      <c r="O33" s="20" t="str">
        <f t="shared" si="3"/>
        <v>Electronics</v>
      </c>
      <c r="U33" s="17"/>
      <c r="V33" s="7"/>
    </row>
    <row r="34" spans="1:22" ht="15.75" customHeight="1" x14ac:dyDescent="0.2">
      <c r="A34" s="16" t="s">
        <v>96</v>
      </c>
      <c r="B34" s="15" t="str">
        <f t="shared" si="4"/>
        <v>13-04-2025</v>
      </c>
      <c r="C34" s="14" t="str">
        <f t="shared" si="0"/>
        <v>13-APR</v>
      </c>
      <c r="D34" s="14" t="str">
        <f t="shared" si="1"/>
        <v>CA</v>
      </c>
      <c r="E34" s="14" t="str">
        <f t="shared" si="5"/>
        <v>Toaster Hamilton</v>
      </c>
      <c r="F34" s="16" t="s">
        <v>97</v>
      </c>
      <c r="G34" s="14" t="str">
        <f t="shared" si="2"/>
        <v>Toaster</v>
      </c>
      <c r="H34" s="14" t="s">
        <v>97</v>
      </c>
      <c r="I34" s="16" t="s">
        <v>98</v>
      </c>
      <c r="J34" s="16">
        <v>40</v>
      </c>
      <c r="K34" s="18">
        <f t="shared" si="6"/>
        <v>40</v>
      </c>
      <c r="L34" s="16">
        <v>10</v>
      </c>
      <c r="M34" s="16" t="s">
        <v>27</v>
      </c>
      <c r="N34" s="16" t="s">
        <v>27</v>
      </c>
      <c r="O34" s="20" t="str">
        <f t="shared" si="3"/>
        <v>Kitchen</v>
      </c>
      <c r="U34" s="17"/>
      <c r="V34" s="7"/>
    </row>
    <row r="35" spans="1:22" ht="15.75" customHeight="1" x14ac:dyDescent="0.2">
      <c r="A35" s="14" t="s">
        <v>38</v>
      </c>
      <c r="B35" s="15" t="str">
        <f t="shared" si="4"/>
        <v>19-07-2025</v>
      </c>
      <c r="C35" s="14" t="str">
        <f t="shared" si="0"/>
        <v>19-JUL</v>
      </c>
      <c r="D35" s="14" t="str">
        <f t="shared" si="1"/>
        <v>UK</v>
      </c>
      <c r="E35" s="14" t="str">
        <f t="shared" si="5"/>
        <v>T-Shirt Adidas</v>
      </c>
      <c r="F35" s="14" t="s">
        <v>39</v>
      </c>
      <c r="G35" s="14" t="str">
        <f t="shared" si="2"/>
        <v>T-Shirt</v>
      </c>
      <c r="H35" s="14" t="s">
        <v>109</v>
      </c>
      <c r="I35" s="14" t="s">
        <v>40</v>
      </c>
      <c r="J35" s="14">
        <v>30</v>
      </c>
      <c r="K35" s="18">
        <f t="shared" si="6"/>
        <v>30</v>
      </c>
      <c r="L35" s="14">
        <v>5</v>
      </c>
      <c r="M35" s="14" t="s">
        <v>23</v>
      </c>
      <c r="N35" s="14" t="s">
        <v>23</v>
      </c>
      <c r="O35" s="20" t="str">
        <f t="shared" si="3"/>
        <v>Fashion</v>
      </c>
      <c r="U35" s="17"/>
      <c r="V35" s="7"/>
    </row>
    <row r="36" spans="1:22" ht="15.75" customHeight="1" x14ac:dyDescent="0.2">
      <c r="A36" s="16" t="s">
        <v>104</v>
      </c>
      <c r="B36" s="15" t="str">
        <f t="shared" si="4"/>
        <v>09-07-2025</v>
      </c>
      <c r="C36" s="14" t="str">
        <f t="shared" si="0"/>
        <v>09-JUL</v>
      </c>
      <c r="D36" s="14" t="str">
        <f t="shared" si="1"/>
        <v>FR</v>
      </c>
      <c r="E36" s="14" t="str">
        <f t="shared" si="5"/>
        <v>Watch Casio</v>
      </c>
      <c r="F36" s="16" t="s">
        <v>105</v>
      </c>
      <c r="G36" s="14" t="str">
        <f t="shared" si="2"/>
        <v>Watch</v>
      </c>
      <c r="H36" s="14" t="s">
        <v>105</v>
      </c>
      <c r="I36" s="16" t="s">
        <v>106</v>
      </c>
      <c r="J36" s="16">
        <v>100</v>
      </c>
      <c r="K36" s="18">
        <f t="shared" si="6"/>
        <v>100</v>
      </c>
      <c r="L36" s="16">
        <v>20</v>
      </c>
      <c r="M36" s="16" t="s">
        <v>66</v>
      </c>
      <c r="N36" s="16" t="s">
        <v>66</v>
      </c>
      <c r="O36" s="20" t="str">
        <f t="shared" si="3"/>
        <v>Accessories</v>
      </c>
      <c r="U36" s="17"/>
      <c r="V36" s="7"/>
    </row>
    <row r="37" spans="1:22" ht="15.75" customHeight="1" x14ac:dyDescent="0.2"/>
    <row r="38" spans="1:22" ht="15.75" customHeight="1" x14ac:dyDescent="0.2"/>
    <row r="39" spans="1:22" ht="15.75" customHeight="1" x14ac:dyDescent="0.2"/>
    <row r="40" spans="1:22" ht="15.75" customHeight="1" x14ac:dyDescent="0.2"/>
    <row r="41" spans="1:22" ht="15.75" customHeight="1" x14ac:dyDescent="0.2"/>
    <row r="42" spans="1:22" ht="15.75" customHeight="1" x14ac:dyDescent="0.2"/>
    <row r="43" spans="1:22" ht="15.75" customHeight="1" x14ac:dyDescent="0.2"/>
    <row r="44" spans="1:22" ht="15.75" customHeight="1" x14ac:dyDescent="0.2"/>
    <row r="45" spans="1:22" ht="15.75" customHeight="1" x14ac:dyDescent="0.2"/>
    <row r="46" spans="1:22" ht="15.75" customHeight="1" x14ac:dyDescent="0.2"/>
    <row r="47" spans="1:22" ht="15.75" customHeight="1" x14ac:dyDescent="0.2"/>
    <row r="48" spans="1:2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autoFilter ref="A5:O36" xr:uid="{EEE1BF6B-2003-4C51-B29D-77A8060029C0}"/>
  <mergeCells count="7">
    <mergeCell ref="C3:D3"/>
    <mergeCell ref="C2:E2"/>
    <mergeCell ref="M3:O3"/>
    <mergeCell ref="J4:K4"/>
    <mergeCell ref="Q4:R4"/>
    <mergeCell ref="J3:K3"/>
    <mergeCell ref="G3:H3"/>
  </mergeCells>
  <conditionalFormatting sqref="K6:K3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{0FCDD77F-F270-4FC8-BAD9-6BCDF81FE00B}</x14:id>
        </ext>
      </extLst>
    </cfRule>
  </conditionalFormatting>
  <conditionalFormatting sqref="O6:O36">
    <cfRule type="cellIs" dxfId="1" priority="1" operator="equal">
      <formula>"Electronics"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CDD77F-F270-4FC8-BAD9-6BCDF81FE00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K6:K36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20FF35-2049-4648-BB10-0CCFBBA30AB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2fa3fd3-029b-403d-91b4-1dc930cb0e60}" enabled="1" method="Privileged" siteId="{4ae48b41-0137-4599-8661-fc641fe77be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Assignment 2 - Data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shabarla Hameed</cp:lastModifiedBy>
  <dcterms:created xsi:type="dcterms:W3CDTF">2026-07-01T09:32:39Z</dcterms:created>
  <dcterms:modified xsi:type="dcterms:W3CDTF">2026-07-01T09:32:39Z</dcterms:modified>
</cp:coreProperties>
</file>