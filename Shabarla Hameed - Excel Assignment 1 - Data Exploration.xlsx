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ABARLA\Downloads\"/>
    </mc:Choice>
  </mc:AlternateContent>
  <xr:revisionPtr revIDLastSave="0" documentId="13_ncr:1_{E970031F-9632-475E-9744-36281BAAD16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ataset" sheetId="1" r:id="rId1"/>
    <sheet name="Dataset - Data Exploration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R7" i="2"/>
  <c r="R6" i="2"/>
  <c r="O8" i="2"/>
  <c r="O7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U8" i="2" l="1"/>
  <c r="O6" i="2"/>
  <c r="U6" i="2"/>
</calcChain>
</file>

<file path=xl/sharedStrings.xml><?xml version="1.0" encoding="utf-8"?>
<sst xmlns="http://schemas.openxmlformats.org/spreadsheetml/2006/main" count="303" uniqueCount="112">
  <si>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</si>
  <si>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</si>
  <si>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</si>
  <si>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</si>
  <si>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</si>
  <si>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</si>
  <si>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</si>
  <si>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</si>
  <si>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</si>
  <si>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</si>
  <si>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</si>
  <si>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</si>
  <si>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</si>
  <si>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</si>
  <si>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</si>
  <si>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</si>
  <si>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</si>
  <si>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</si>
  <si>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</si>
  <si>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</si>
  <si>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</si>
  <si>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</si>
  <si>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</si>
  <si>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</si>
  <si>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</si>
  <si>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</si>
  <si>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</si>
  <si>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</si>
  <si>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</si>
  <si>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</si>
  <si>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</si>
  <si>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</si>
  <si>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</si>
  <si>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</si>
  <si>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</si>
  <si>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</si>
  <si>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</si>
  <si>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</si>
  <si>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</si>
  <si>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</si>
  <si>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</si>
  <si>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</si>
  <si>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</si>
  <si>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</si>
  <si>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</si>
  <si>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</si>
  <si>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</si>
  <si>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</si>
  <si>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</si>
  <si>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</si>
  <si>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</si>
  <si>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</si>
  <si>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</si>
  <si>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</si>
  <si>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</si>
  <si>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</si>
  <si>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</si>
  <si>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</si>
  <si>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</si>
  <si>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</si>
  <si>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</si>
  <si>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</si>
  <si>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</si>
  <si>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</si>
  <si>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</si>
  <si>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</si>
  <si>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</si>
  <si>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</si>
  <si>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</si>
  <si>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</si>
  <si>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</si>
  <si>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</si>
  <si>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</si>
  <si>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</si>
  <si>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</si>
  <si>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</si>
  <si>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</si>
  <si>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</si>
  <si>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</si>
  <si>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</si>
  <si>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</si>
  <si>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</si>
  <si>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</si>
  <si>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</si>
  <si>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</si>
  <si>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</si>
  <si>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</si>
  <si>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</si>
  <si>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</si>
  <si>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</si>
  <si>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</si>
  <si>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</si>
  <si>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</si>
  <si>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r>
      <rPr>
        <b/>
        <sz val="10"/>
        <color rgb="FF000000"/>
        <rFont val="Arial"/>
        <family val="2"/>
        <scheme val="minor"/>
      </rPr>
      <t xml:space="preserve">
</t>
    </r>
    <r>
      <rPr>
        <b/>
        <sz val="10"/>
        <color rgb="FFFF0000"/>
        <rFont val="Arial"/>
        <family val="2"/>
        <scheme val="minor"/>
      </rPr>
      <t>1) Sum, Count, Average:</t>
    </r>
    <r>
      <rPr>
        <sz val="10"/>
        <color rgb="FF000000"/>
        <rFont val="Arial"/>
        <family val="2"/>
        <scheme val="minor"/>
      </rPr>
      <t xml:space="preserve">
• What is the total price of all products in the dataset?
• How many products are there in the dataset?
• Calculate the average price of the products.
</t>
    </r>
  </si>
  <si>
    <t xml:space="preserve"> Price of all products  </t>
  </si>
  <si>
    <t>How many products are there in the dataset?</t>
  </si>
  <si>
    <t>Average price of the products</t>
  </si>
  <si>
    <t>Total Price  (G X J</t>
  </si>
  <si>
    <r>
      <rPr>
        <b/>
        <sz val="10"/>
        <color rgb="FFFF0000"/>
        <rFont val="Arial"/>
        <family val="2"/>
        <scheme val="minor"/>
      </rPr>
      <t>2) Min and Max:</t>
    </r>
    <r>
      <rPr>
        <b/>
        <sz val="10"/>
        <color rgb="FF000000"/>
        <rFont val="Arial"/>
        <family val="2"/>
        <scheme val="minor"/>
      </rPr>
      <t xml:space="preserve">
</t>
    </r>
    <r>
      <rPr>
        <sz val="10"/>
        <color rgb="FF000000"/>
        <rFont val="Arial"/>
        <family val="2"/>
        <scheme val="minor"/>
      </rPr>
      <t>• Determine the minimum price among all products.
• Find the maximum price among all products.</t>
    </r>
  </si>
  <si>
    <t>Minimum Price</t>
  </si>
  <si>
    <t>Maximum Price</t>
  </si>
  <si>
    <t>Price Range to categorize products</t>
  </si>
  <si>
    <t>3) IF Function:</t>
  </si>
  <si>
    <t>• Using an IF function, create a new column named Price Range to categorize products with a price greater than or equal to $500 as 'High Price' and others as 'Standard Price'.</t>
  </si>
  <si>
    <r>
      <rPr>
        <b/>
        <sz val="10"/>
        <color rgb="FFFF0000"/>
        <rFont val="Arial"/>
        <family val="2"/>
        <scheme val="minor"/>
      </rPr>
      <t>4) SUMIF and COUNTIF:</t>
    </r>
    <r>
      <rPr>
        <b/>
        <sz val="10"/>
        <color rgb="FF000000"/>
        <rFont val="Arial"/>
        <family val="2"/>
        <scheme val="minor"/>
      </rPr>
      <t xml:space="preserve">
</t>
    </r>
    <r>
      <rPr>
        <sz val="10"/>
        <color rgb="FF000000"/>
        <rFont val="Arial"/>
        <family val="2"/>
        <scheme val="minor"/>
      </rPr>
      <t>• Calculate the total price for products in the 'Electronics' category using the SUMIF function.
• Determine the count of products with a price less than $100 using the COUNTIF function.</t>
    </r>
  </si>
  <si>
    <t>count of products with a price less than $100</t>
  </si>
  <si>
    <t>Total price for products in the 'Electronics' category</t>
  </si>
  <si>
    <t>price less than $100</t>
  </si>
  <si>
    <t>Day</t>
  </si>
  <si>
    <t>Country Code</t>
  </si>
  <si>
    <t>Month</t>
  </si>
  <si>
    <r>
      <rPr>
        <b/>
        <sz val="10"/>
        <color rgb="FFFF0000"/>
        <rFont val="Arial"/>
        <family val="2"/>
        <scheme val="minor"/>
      </rPr>
      <t>5) Text Formatting - LEFT, RIGHT, MID:</t>
    </r>
    <r>
      <rPr>
        <b/>
        <sz val="10"/>
        <color rgb="FF000000"/>
        <rFont val="Arial"/>
        <family val="2"/>
        <scheme val="minor"/>
      </rPr>
      <t xml:space="preserve">
</t>
    </r>
    <r>
      <rPr>
        <sz val="10"/>
        <color rgb="FF000000"/>
        <rFont val="Arial"/>
        <family val="2"/>
        <scheme val="minor"/>
      </rPr>
      <t xml:space="preserve">	
• Create a new column named Day with the first 2 characters of each 'Product ID' using the LEFT function.
• Create a new column named Country Code by extracting the last 2 characters from the 'Product ID' column using the RIGHT function.
• Create a new column named Month by extracting 4th to 6th characters from the 'Product ID' column using the MID function.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</si>
</sst>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6" formatCode="[$$-409]#,##0.00"/>
    <numFmt numFmtId="173" formatCode="&quot;$&quot;#,##0.00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2"/>
      <color rgb="FFFF0000"/>
      <name val="Times New Roman"/>
      <family val="1"/>
    </font>
    <font>
      <sz val="10"/>
      <color rgb="FFFF0000"/>
      <name val="Arial"/>
      <family val="2"/>
      <scheme val="minor"/>
    </font>
    <font>
      <sz val="8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4DD0E1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4DD0E1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50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0" borderId="5" xfId="0" applyFont="1" applyBorder="1"/>
    <xf numFmtId="0" fontId="2" fillId="3" borderId="5" xfId="0" applyFont="1" applyFill="1" applyBorder="1"/>
    <xf numFmtId="0" fontId="2" fillId="3" borderId="7" xfId="0" applyFont="1" applyFill="1" applyBorder="1"/>
    <xf numFmtId="166" fontId="2" fillId="0" borderId="1" xfId="0" applyNumberFormat="1" applyFont="1" applyBorder="1"/>
    <xf numFmtId="166" fontId="2" fillId="3" borderId="1" xfId="0" applyNumberFormat="1" applyFont="1" applyFill="1" applyBorder="1"/>
    <xf numFmtId="166" fontId="2" fillId="3" borderId="8" xfId="0" applyNumberFormat="1" applyFont="1" applyFill="1" applyBorder="1"/>
    <xf numFmtId="1" fontId="2" fillId="0" borderId="1" xfId="0" applyNumberFormat="1" applyFont="1" applyBorder="1"/>
    <xf numFmtId="1" fontId="2" fillId="3" borderId="1" xfId="0" applyNumberFormat="1" applyFont="1" applyFill="1" applyBorder="1"/>
    <xf numFmtId="1" fontId="2" fillId="3" borderId="8" xfId="0" applyNumberFormat="1" applyFont="1" applyFill="1" applyBorder="1"/>
    <xf numFmtId="49" fontId="2" fillId="0" borderId="6" xfId="0" applyNumberFormat="1" applyFont="1" applyBorder="1"/>
    <xf numFmtId="49" fontId="2" fillId="3" borderId="6" xfId="0" applyNumberFormat="1" applyFont="1" applyFill="1" applyBorder="1"/>
    <xf numFmtId="49" fontId="2" fillId="3" borderId="9" xfId="0" applyNumberFormat="1" applyFont="1" applyFill="1" applyBorder="1"/>
    <xf numFmtId="49" fontId="2" fillId="0" borderId="1" xfId="0" applyNumberFormat="1" applyFont="1" applyBorder="1"/>
    <xf numFmtId="49" fontId="2" fillId="3" borderId="1" xfId="0" applyNumberFormat="1" applyFont="1" applyFill="1" applyBorder="1"/>
    <xf numFmtId="49" fontId="2" fillId="3" borderId="8" xfId="0" applyNumberFormat="1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6" borderId="1" xfId="1" applyFont="1" applyFill="1" applyBorder="1" applyAlignment="1">
      <alignment horizontal="left" vertical="center" wrapText="1"/>
    </xf>
    <xf numFmtId="0" fontId="6" fillId="7" borderId="1" xfId="1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/>
    </xf>
    <xf numFmtId="0" fontId="6" fillId="7" borderId="1" xfId="1" applyFont="1" applyFill="1" applyBorder="1" applyAlignment="1">
      <alignment vertical="center"/>
    </xf>
    <xf numFmtId="0" fontId="6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/>
    </xf>
    <xf numFmtId="0" fontId="6" fillId="7" borderId="6" xfId="0" applyFont="1" applyFill="1" applyBorder="1" applyAlignment="1">
      <alignment vertical="center"/>
    </xf>
    <xf numFmtId="166" fontId="7" fillId="11" borderId="1" xfId="0" applyNumberFormat="1" applyFont="1" applyFill="1" applyBorder="1"/>
    <xf numFmtId="0" fontId="7" fillId="11" borderId="1" xfId="0" applyFont="1" applyFill="1" applyBorder="1"/>
    <xf numFmtId="2" fontId="7" fillId="11" borderId="1" xfId="0" applyNumberFormat="1" applyFont="1" applyFill="1" applyBorder="1"/>
    <xf numFmtId="173" fontId="7" fillId="11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 wrapText="1"/>
    </xf>
    <xf numFmtId="166" fontId="2" fillId="0" borderId="1" xfId="0" applyNumberFormat="1" applyFont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166" fontId="2" fillId="3" borderId="8" xfId="0" applyNumberFormat="1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center" wrapText="1"/>
    </xf>
    <xf numFmtId="173" fontId="9" fillId="8" borderId="1" xfId="0" applyNumberFormat="1" applyFont="1" applyFill="1" applyBorder="1" applyAlignment="1">
      <alignment horizontal="center" vertical="center"/>
    </xf>
    <xf numFmtId="173" fontId="7" fillId="8" borderId="1" xfId="0" applyNumberFormat="1" applyFont="1" applyFill="1" applyBorder="1" applyAlignment="1">
      <alignment horizontal="center" vertical="center"/>
    </xf>
    <xf numFmtId="1" fontId="9" fillId="8" borderId="1" xfId="0" applyNumberFormat="1" applyFont="1" applyFill="1" applyBorder="1" applyAlignment="1">
      <alignment horizontal="center" vertical="center"/>
    </xf>
    <xf numFmtId="1" fontId="7" fillId="8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D88E17C0-4954-40D8-83BA-7CD3083679A0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[$$-409]#,##0.00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[$$-409]#,##0.00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[$$-409]#,##0.00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[$$-409]#,##0.00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1" defaultTableStyle="TableStyleMedium2" defaultPivotStyle="PivotStyleLight16">
    <tableStyle name="Invisible" pivot="0" table="0" count="0" xr9:uid="{876E5F89-6FB4-49EF-82BE-B5E41B529F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3A9FF4-724D-4C83-A53A-6E110A3E52F6}" name="Table1" displayName="Table1" ref="A5:L39" totalsRowShown="0" headerRowDxfId="9" dataDxfId="16" headerRowBorderDxfId="14" tableBorderDxfId="15" totalsRowBorderDxfId="13">
  <autoFilter ref="A5:L39" xr:uid="{D23A9FF4-724D-4C83-A53A-6E110A3E52F6}"/>
  <tableColumns count="12">
    <tableColumn id="1" xr3:uid="{3FA53AD3-989F-4C16-8B94-EBFF554A0C80}" name="Product ID" dataDxfId="12"/>
    <tableColumn id="13" xr3:uid="{D7738336-7F96-45A2-AC3F-50CCD6158871}" name="Day" dataDxfId="2">
      <calculatedColumnFormula>LEFT(Table1[[#This Row],[Product ID]],2)</calculatedColumnFormula>
    </tableColumn>
    <tableColumn id="14" xr3:uid="{11567017-7C6B-43D9-98B5-056EF63209B5}" name="Country Code" dataDxfId="1">
      <calculatedColumnFormula>RIGHT(Table1[[#This Row],[Product ID]],2)</calculatedColumnFormula>
    </tableColumn>
    <tableColumn id="12" xr3:uid="{98093AA9-52F3-4EDC-98AD-78813EF53D5A}" name="Month" dataDxfId="0">
      <calculatedColumnFormula>MID(Table1[[#This Row],[Product ID]],4,3)</calculatedColumnFormula>
    </tableColumn>
    <tableColumn id="2" xr3:uid="{A59A505C-AD2C-4DA5-812A-B34867A65F70}" name="Product Name" dataDxfId="11"/>
    <tableColumn id="3" xr3:uid="{2DA11B14-8B85-417F-958F-A849C97BEB3D}" name="Brand Name" dataDxfId="10"/>
    <tableColumn id="7" xr3:uid="{7AE90CB9-D75C-4F7B-98F2-7B3408FF62C7}" name="Price ($)" dataDxfId="6"/>
    <tableColumn id="11" xr3:uid="{B370D91E-D679-48EC-A097-6F174D5F8052}" name="price less than $100" dataDxfId="3">
      <calculatedColumnFormula>IF(Table1[[#This Row],[Price ($)]]&lt;100,"Yes", "No")</calculatedColumnFormula>
    </tableColumn>
    <tableColumn id="10" xr3:uid="{76896325-D300-4E4A-A2F5-69E9D779FD51}" name="Price Range to categorize products" dataDxfId="4">
      <calculatedColumnFormula>IF(Table1[[#This Row],[Price ($)]]&gt;500,"High Price","Standard Price")</calculatedColumnFormula>
    </tableColumn>
    <tableColumn id="8" xr3:uid="{40AC01BF-3FC3-492E-8960-264B0A66EEAC}" name="Quantity" dataDxfId="5"/>
    <tableColumn id="9" xr3:uid="{62A70229-9B2F-4F6D-9074-423387647007}" name="Total Price  (G X J" dataDxfId="7">
      <calculatedColumnFormula>+Table1[[#This Row],[Quantity]]*Table1[[#This Row],[Price ($)]]</calculatedColumnFormula>
    </tableColumn>
    <tableColumn id="6" xr3:uid="{90E0D98E-3AA9-4EF0-ACCC-F3078A1C5AC9}" name="Category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>
      <selection sqref="A1:F35"/>
    </sheetView>
  </sheetViews>
  <sheetFormatPr defaultColWidth="12.5703125" defaultRowHeight="15" customHeight="1" x14ac:dyDescent="0.2"/>
  <cols>
    <col min="2" max="2" width="14.1406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BE04A-9168-4B80-A053-CF42A85C43DA}">
  <sheetPr>
    <outlinePr summaryBelow="0" summaryRight="0"/>
  </sheetPr>
  <dimension ref="A1:U1004"/>
  <sheetViews>
    <sheetView tabSelected="1" workbookViewId="0">
      <pane xSplit="12" ySplit="5" topLeftCell="M6" activePane="bottomRight" state="frozen"/>
      <selection pane="topRight" activeCell="H1" sqref="H1"/>
      <selection pane="bottomLeft" activeCell="A6" sqref="A6"/>
      <selection pane="bottomRight" activeCell="N16" sqref="N16"/>
    </sheetView>
  </sheetViews>
  <sheetFormatPr defaultColWidth="12.5703125" defaultRowHeight="15" customHeight="1" x14ac:dyDescent="0.2"/>
  <cols>
    <col min="1" max="1" width="15" bestFit="1" customWidth="1"/>
    <col min="2" max="4" width="15" customWidth="1"/>
    <col min="5" max="5" width="18.5703125" bestFit="1" customWidth="1"/>
    <col min="6" max="6" width="16.85546875" bestFit="1" customWidth="1"/>
    <col min="7" max="7" width="14" bestFit="1" customWidth="1"/>
    <col min="8" max="8" width="14" customWidth="1"/>
    <col min="9" max="9" width="28.5703125" customWidth="1"/>
    <col min="11" max="11" width="22.28515625" bestFit="1" customWidth="1"/>
    <col min="14" max="14" width="48" customWidth="1"/>
    <col min="15" max="15" width="17.85546875" customWidth="1"/>
    <col min="16" max="16" width="4.5703125" customWidth="1"/>
    <col min="17" max="17" width="29.28515625" customWidth="1"/>
    <col min="19" max="19" width="8.28515625" customWidth="1"/>
    <col min="20" max="20" width="43.7109375" bestFit="1" customWidth="1"/>
  </cols>
  <sheetData>
    <row r="1" spans="1:21" ht="15.75" x14ac:dyDescent="0.2">
      <c r="B1" s="49" t="s">
        <v>111</v>
      </c>
      <c r="C1" s="49"/>
      <c r="D1" s="49"/>
      <c r="E1" s="49"/>
      <c r="F1" s="49"/>
      <c r="I1" s="37" t="s">
        <v>102</v>
      </c>
    </row>
    <row r="2" spans="1:21" ht="93.75" customHeight="1" x14ac:dyDescent="0.2">
      <c r="B2" s="49"/>
      <c r="C2" s="49"/>
      <c r="D2" s="49"/>
      <c r="E2" s="49"/>
      <c r="F2" s="49"/>
      <c r="I2" s="38" t="s">
        <v>103</v>
      </c>
    </row>
    <row r="3" spans="1:21" ht="21" customHeight="1" x14ac:dyDescent="0.2">
      <c r="B3" s="49"/>
      <c r="C3" s="49"/>
      <c r="D3" s="49"/>
      <c r="E3" s="49"/>
      <c r="F3" s="49"/>
    </row>
    <row r="5" spans="1:21" ht="78" customHeight="1" x14ac:dyDescent="0.2">
      <c r="A5" s="21" t="s">
        <v>0</v>
      </c>
      <c r="B5" s="48" t="s">
        <v>108</v>
      </c>
      <c r="C5" s="48" t="s">
        <v>109</v>
      </c>
      <c r="D5" s="48" t="s">
        <v>110</v>
      </c>
      <c r="E5" s="22" t="s">
        <v>1</v>
      </c>
      <c r="F5" s="22" t="s">
        <v>2</v>
      </c>
      <c r="G5" s="23" t="s">
        <v>3</v>
      </c>
      <c r="H5" s="42" t="s">
        <v>107</v>
      </c>
      <c r="I5" s="42" t="s">
        <v>101</v>
      </c>
      <c r="J5" s="23" t="s">
        <v>4</v>
      </c>
      <c r="K5" s="28" t="s">
        <v>97</v>
      </c>
      <c r="L5" s="24" t="s">
        <v>5</v>
      </c>
      <c r="M5" s="25"/>
      <c r="N5" s="26" t="s">
        <v>93</v>
      </c>
      <c r="O5" s="26"/>
      <c r="Q5" s="30" t="s">
        <v>98</v>
      </c>
      <c r="R5" s="31"/>
      <c r="T5" s="30" t="s">
        <v>104</v>
      </c>
      <c r="U5" s="31"/>
    </row>
    <row r="6" spans="1:21" ht="15.75" customHeight="1" x14ac:dyDescent="0.2">
      <c r="A6" s="6" t="s">
        <v>6</v>
      </c>
      <c r="B6" s="6" t="str">
        <f>LEFT(Table1[[#This Row],[Product ID]],2)</f>
        <v>28</v>
      </c>
      <c r="C6" s="6" t="str">
        <f>RIGHT(Table1[[#This Row],[Product ID]],2)</f>
        <v>US</v>
      </c>
      <c r="D6" s="6" t="str">
        <f>MID(Table1[[#This Row],[Product ID]],4,3)</f>
        <v>JAN</v>
      </c>
      <c r="E6" s="18" t="s">
        <v>7</v>
      </c>
      <c r="F6" s="18" t="s">
        <v>8</v>
      </c>
      <c r="G6" s="9">
        <v>1000</v>
      </c>
      <c r="H6" s="9" t="str">
        <f>IF(Table1[[#This Row],[Price ($)]]&lt;100,"Yes", "No")</f>
        <v>No</v>
      </c>
      <c r="I6" s="39" t="str">
        <f>IF(Table1[[#This Row],[Price ($)]]&gt;500,"High Price","Standard Price")</f>
        <v>High Price</v>
      </c>
      <c r="J6" s="12">
        <v>30</v>
      </c>
      <c r="K6" s="9">
        <f>+Table1[[#This Row],[Quantity]]*Table1[[#This Row],[Price ($)]]</f>
        <v>30000</v>
      </c>
      <c r="L6" s="15" t="s">
        <v>9</v>
      </c>
      <c r="M6" s="3"/>
      <c r="N6" s="29" t="s">
        <v>94</v>
      </c>
      <c r="O6" s="33">
        <f>SUM(Table1[Total Price  (G X J])</f>
        <v>289700</v>
      </c>
      <c r="Q6" s="32" t="s">
        <v>99</v>
      </c>
      <c r="R6" s="36">
        <f>MIN(Table1[Price ($)])</f>
        <v>30</v>
      </c>
      <c r="T6" s="43" t="s">
        <v>106</v>
      </c>
      <c r="U6" s="44">
        <f>SUMIF(Table1[Category],"Electronics",Table1[Total Price  (G X J])</f>
        <v>234200</v>
      </c>
    </row>
    <row r="7" spans="1:21" ht="15.75" customHeight="1" x14ac:dyDescent="0.2">
      <c r="A7" s="7" t="s">
        <v>10</v>
      </c>
      <c r="B7" s="7" t="str">
        <f>LEFT(Table1[[#This Row],[Product ID]],2)</f>
        <v>15</v>
      </c>
      <c r="C7" s="7" t="str">
        <f>RIGHT(Table1[[#This Row],[Product ID]],2)</f>
        <v>US</v>
      </c>
      <c r="D7" s="7" t="str">
        <f>MID(Table1[[#This Row],[Product ID]],4,3)</f>
        <v>FEB</v>
      </c>
      <c r="E7" s="19" t="s">
        <v>11</v>
      </c>
      <c r="F7" s="19" t="s">
        <v>12</v>
      </c>
      <c r="G7" s="10">
        <v>80</v>
      </c>
      <c r="H7" s="10" t="str">
        <f>IF(Table1[[#This Row],[Price ($)]]&lt;100,"Yes", "No")</f>
        <v>Yes</v>
      </c>
      <c r="I7" s="40" t="str">
        <f>IF(Table1[[#This Row],[Price ($)]]&gt;500,"High Price","Standard Price")</f>
        <v>Standard Price</v>
      </c>
      <c r="J7" s="13">
        <v>15</v>
      </c>
      <c r="K7" s="10">
        <f>+Table1[[#This Row],[Quantity]]*Table1[[#This Row],[Price ($)]]</f>
        <v>1200</v>
      </c>
      <c r="L7" s="16" t="s">
        <v>13</v>
      </c>
      <c r="M7" s="3"/>
      <c r="N7" s="27" t="s">
        <v>95</v>
      </c>
      <c r="O7" s="34">
        <f>COUNTA(Table1[Product ID])</f>
        <v>34</v>
      </c>
      <c r="Q7" s="32" t="s">
        <v>100</v>
      </c>
      <c r="R7" s="36">
        <f>MAX(Table1[Price ($)])</f>
        <v>1000</v>
      </c>
      <c r="T7" s="43"/>
      <c r="U7" s="45"/>
    </row>
    <row r="8" spans="1:21" ht="15.75" customHeight="1" x14ac:dyDescent="0.2">
      <c r="A8" s="6" t="s">
        <v>14</v>
      </c>
      <c r="B8" s="6" t="str">
        <f>LEFT(Table1[[#This Row],[Product ID]],2)</f>
        <v>03</v>
      </c>
      <c r="C8" s="6" t="str">
        <f>RIGHT(Table1[[#This Row],[Product ID]],2)</f>
        <v>US</v>
      </c>
      <c r="D8" s="6" t="str">
        <f>MID(Table1[[#This Row],[Product ID]],4,3)</f>
        <v>MAR</v>
      </c>
      <c r="E8" s="18" t="s">
        <v>15</v>
      </c>
      <c r="F8" s="18" t="s">
        <v>16</v>
      </c>
      <c r="G8" s="9">
        <v>130</v>
      </c>
      <c r="H8" s="9" t="str">
        <f>IF(Table1[[#This Row],[Price ($)]]&lt;100,"Yes", "No")</f>
        <v>No</v>
      </c>
      <c r="I8" s="39" t="str">
        <f>IF(Table1[[#This Row],[Price ($)]]&gt;500,"High Price","Standard Price")</f>
        <v>Standard Price</v>
      </c>
      <c r="J8" s="12">
        <v>40</v>
      </c>
      <c r="K8" s="9">
        <f>+Table1[[#This Row],[Quantity]]*Table1[[#This Row],[Price ($)]]</f>
        <v>5200</v>
      </c>
      <c r="L8" s="15" t="s">
        <v>17</v>
      </c>
      <c r="M8" s="3"/>
      <c r="N8" s="29" t="s">
        <v>96</v>
      </c>
      <c r="O8" s="35">
        <f>AVERAGE(Table1[Price ($)])</f>
        <v>297.05882352941177</v>
      </c>
      <c r="T8" s="43" t="s">
        <v>105</v>
      </c>
      <c r="U8" s="46">
        <f>COUNTIF(Table1[price less than $100],"Yes")</f>
        <v>11</v>
      </c>
    </row>
    <row r="9" spans="1:21" ht="15.75" customHeight="1" x14ac:dyDescent="0.2">
      <c r="A9" s="7" t="s">
        <v>18</v>
      </c>
      <c r="B9" s="7" t="str">
        <f>LEFT(Table1[[#This Row],[Product ID]],2)</f>
        <v>11</v>
      </c>
      <c r="C9" s="7" t="str">
        <f>RIGHT(Table1[[#This Row],[Product ID]],2)</f>
        <v>US</v>
      </c>
      <c r="D9" s="7" t="str">
        <f>MID(Table1[[#This Row],[Product ID]],4,3)</f>
        <v>APR</v>
      </c>
      <c r="E9" s="19" t="s">
        <v>19</v>
      </c>
      <c r="F9" s="19" t="s">
        <v>20</v>
      </c>
      <c r="G9" s="10">
        <v>900</v>
      </c>
      <c r="H9" s="10" t="str">
        <f>IF(Table1[[#This Row],[Price ($)]]&lt;100,"Yes", "No")</f>
        <v>No</v>
      </c>
      <c r="I9" s="40" t="str">
        <f>IF(Table1[[#This Row],[Price ($)]]&gt;500,"High Price","Standard Price")</f>
        <v>High Price</v>
      </c>
      <c r="J9" s="13">
        <v>25</v>
      </c>
      <c r="K9" s="10">
        <f>+Table1[[#This Row],[Quantity]]*Table1[[#This Row],[Price ($)]]</f>
        <v>22500</v>
      </c>
      <c r="L9" s="16" t="s">
        <v>9</v>
      </c>
      <c r="M9" s="3"/>
      <c r="T9" s="43"/>
      <c r="U9" s="47"/>
    </row>
    <row r="10" spans="1:21" ht="15.75" customHeight="1" x14ac:dyDescent="0.2">
      <c r="A10" s="6" t="s">
        <v>21</v>
      </c>
      <c r="B10" s="6" t="str">
        <f>LEFT(Table1[[#This Row],[Product ID]],2)</f>
        <v>22</v>
      </c>
      <c r="C10" s="6" t="str">
        <f>RIGHT(Table1[[#This Row],[Product ID]],2)</f>
        <v>US</v>
      </c>
      <c r="D10" s="6" t="str">
        <f>MID(Table1[[#This Row],[Product ID]],4,3)</f>
        <v>MAY</v>
      </c>
      <c r="E10" s="18" t="s">
        <v>22</v>
      </c>
      <c r="F10" s="18" t="s">
        <v>23</v>
      </c>
      <c r="G10" s="9">
        <v>70</v>
      </c>
      <c r="H10" s="9" t="str">
        <f>IF(Table1[[#This Row],[Price ($)]]&lt;100,"Yes", "No")</f>
        <v>Yes</v>
      </c>
      <c r="I10" s="39" t="str">
        <f>IF(Table1[[#This Row],[Price ($)]]&gt;500,"High Price","Standard Price")</f>
        <v>Standard Price</v>
      </c>
      <c r="J10" s="12">
        <v>20</v>
      </c>
      <c r="K10" s="9">
        <f>+Table1[[#This Row],[Quantity]]*Table1[[#This Row],[Price ($)]]</f>
        <v>1400</v>
      </c>
      <c r="L10" s="15" t="s">
        <v>24</v>
      </c>
      <c r="M10" s="3"/>
    </row>
    <row r="11" spans="1:21" ht="15.75" customHeight="1" x14ac:dyDescent="0.2">
      <c r="A11" s="7" t="s">
        <v>25</v>
      </c>
      <c r="B11" s="7" t="str">
        <f>LEFT(Table1[[#This Row],[Product ID]],2)</f>
        <v>07</v>
      </c>
      <c r="C11" s="7" t="str">
        <f>RIGHT(Table1[[#This Row],[Product ID]],2)</f>
        <v>UK</v>
      </c>
      <c r="D11" s="7" t="str">
        <f>MID(Table1[[#This Row],[Product ID]],4,3)</f>
        <v>JUN</v>
      </c>
      <c r="E11" s="19" t="s">
        <v>26</v>
      </c>
      <c r="F11" s="19" t="s">
        <v>27</v>
      </c>
      <c r="G11" s="10">
        <v>200</v>
      </c>
      <c r="H11" s="10" t="str">
        <f>IF(Table1[[#This Row],[Price ($)]]&lt;100,"Yes", "No")</f>
        <v>No</v>
      </c>
      <c r="I11" s="40" t="str">
        <f>IF(Table1[[#This Row],[Price ($)]]&gt;500,"High Price","Standard Price")</f>
        <v>Standard Price</v>
      </c>
      <c r="J11" s="13">
        <v>45</v>
      </c>
      <c r="K11" s="10">
        <f>+Table1[[#This Row],[Quantity]]*Table1[[#This Row],[Price ($)]]</f>
        <v>9000</v>
      </c>
      <c r="L11" s="16" t="s">
        <v>9</v>
      </c>
      <c r="M11" s="3"/>
    </row>
    <row r="12" spans="1:21" ht="15.75" customHeight="1" x14ac:dyDescent="0.2">
      <c r="A12" s="6" t="s">
        <v>28</v>
      </c>
      <c r="B12" s="6" t="str">
        <f>LEFT(Table1[[#This Row],[Product ID]],2)</f>
        <v>19</v>
      </c>
      <c r="C12" s="6" t="str">
        <f>RIGHT(Table1[[#This Row],[Product ID]],2)</f>
        <v>UK</v>
      </c>
      <c r="D12" s="6" t="str">
        <f>MID(Table1[[#This Row],[Product ID]],4,3)</f>
        <v>JUL</v>
      </c>
      <c r="E12" s="18" t="s">
        <v>29</v>
      </c>
      <c r="F12" s="18" t="s">
        <v>30</v>
      </c>
      <c r="G12" s="9">
        <v>30</v>
      </c>
      <c r="H12" s="9" t="str">
        <f>IF(Table1[[#This Row],[Price ($)]]&lt;100,"Yes", "No")</f>
        <v>Yes</v>
      </c>
      <c r="I12" s="39" t="str">
        <f>IF(Table1[[#This Row],[Price ($)]]&gt;500,"High Price","Standard Price")</f>
        <v>Standard Price</v>
      </c>
      <c r="J12" s="12">
        <v>5</v>
      </c>
      <c r="K12" s="9">
        <f>+Table1[[#This Row],[Quantity]]*Table1[[#This Row],[Price ($)]]</f>
        <v>150</v>
      </c>
      <c r="L12" s="15" t="s">
        <v>13</v>
      </c>
      <c r="M12" s="3"/>
    </row>
    <row r="13" spans="1:21" ht="15.75" customHeight="1" x14ac:dyDescent="0.2">
      <c r="A13" s="7" t="s">
        <v>31</v>
      </c>
      <c r="B13" s="7" t="str">
        <f>LEFT(Table1[[#This Row],[Product ID]],2)</f>
        <v>23</v>
      </c>
      <c r="C13" s="7" t="str">
        <f>RIGHT(Table1[[#This Row],[Product ID]],2)</f>
        <v>UK</v>
      </c>
      <c r="D13" s="7" t="str">
        <f>MID(Table1[[#This Row],[Product ID]],4,3)</f>
        <v>AUG</v>
      </c>
      <c r="E13" s="19" t="s">
        <v>32</v>
      </c>
      <c r="F13" s="19" t="s">
        <v>33</v>
      </c>
      <c r="G13" s="10">
        <v>90</v>
      </c>
      <c r="H13" s="10" t="str">
        <f>IF(Table1[[#This Row],[Price ($)]]&lt;100,"Yes", "No")</f>
        <v>Yes</v>
      </c>
      <c r="I13" s="40" t="str">
        <f>IF(Table1[[#This Row],[Price ($)]]&gt;500,"High Price","Standard Price")</f>
        <v>Standard Price</v>
      </c>
      <c r="J13" s="13">
        <v>35</v>
      </c>
      <c r="K13" s="10">
        <f>+Table1[[#This Row],[Quantity]]*Table1[[#This Row],[Price ($)]]</f>
        <v>3150</v>
      </c>
      <c r="L13" s="16" t="s">
        <v>17</v>
      </c>
      <c r="M13" s="3"/>
    </row>
    <row r="14" spans="1:21" ht="15.75" customHeight="1" x14ac:dyDescent="0.2">
      <c r="A14" s="6" t="s">
        <v>34</v>
      </c>
      <c r="B14" s="6" t="str">
        <f>LEFT(Table1[[#This Row],[Product ID]],2)</f>
        <v>05</v>
      </c>
      <c r="C14" s="6" t="str">
        <f>RIGHT(Table1[[#This Row],[Product ID]],2)</f>
        <v>UK</v>
      </c>
      <c r="D14" s="6" t="str">
        <f>MID(Table1[[#This Row],[Product ID]],4,3)</f>
        <v>SEP</v>
      </c>
      <c r="E14" s="18" t="s">
        <v>35</v>
      </c>
      <c r="F14" s="18" t="s">
        <v>36</v>
      </c>
      <c r="G14" s="9">
        <v>500</v>
      </c>
      <c r="H14" s="9" t="str">
        <f>IF(Table1[[#This Row],[Price ($)]]&lt;100,"Yes", "No")</f>
        <v>No</v>
      </c>
      <c r="I14" s="39" t="str">
        <f>IF(Table1[[#This Row],[Price ($)]]&gt;500,"High Price","Standard Price")</f>
        <v>Standard Price</v>
      </c>
      <c r="J14" s="12">
        <v>50</v>
      </c>
      <c r="K14" s="9">
        <f>+Table1[[#This Row],[Quantity]]*Table1[[#This Row],[Price ($)]]</f>
        <v>25000</v>
      </c>
      <c r="L14" s="15" t="s">
        <v>9</v>
      </c>
      <c r="M14" s="3"/>
    </row>
    <row r="15" spans="1:21" ht="15.75" customHeight="1" x14ac:dyDescent="0.2">
      <c r="A15" s="7" t="s">
        <v>37</v>
      </c>
      <c r="B15" s="7" t="str">
        <f>LEFT(Table1[[#This Row],[Product ID]],2)</f>
        <v>14</v>
      </c>
      <c r="C15" s="7" t="str">
        <f>RIGHT(Table1[[#This Row],[Product ID]],2)</f>
        <v>UK</v>
      </c>
      <c r="D15" s="7" t="str">
        <f>MID(Table1[[#This Row],[Product ID]],4,3)</f>
        <v>OCT</v>
      </c>
      <c r="E15" s="19" t="s">
        <v>38</v>
      </c>
      <c r="F15" s="19" t="s">
        <v>39</v>
      </c>
      <c r="G15" s="10">
        <v>130</v>
      </c>
      <c r="H15" s="10" t="str">
        <f>IF(Table1[[#This Row],[Price ($)]]&lt;100,"Yes", "No")</f>
        <v>No</v>
      </c>
      <c r="I15" s="40" t="str">
        <f>IF(Table1[[#This Row],[Price ($)]]&gt;500,"High Price","Standard Price")</f>
        <v>Standard Price</v>
      </c>
      <c r="J15" s="13">
        <v>10</v>
      </c>
      <c r="K15" s="10">
        <f>+Table1[[#This Row],[Quantity]]*Table1[[#This Row],[Price ($)]]</f>
        <v>1300</v>
      </c>
      <c r="L15" s="16" t="s">
        <v>24</v>
      </c>
      <c r="M15" s="3"/>
    </row>
    <row r="16" spans="1:21" ht="15.75" customHeight="1" x14ac:dyDescent="0.2">
      <c r="A16" s="6" t="s">
        <v>40</v>
      </c>
      <c r="B16" s="6" t="str">
        <f>LEFT(Table1[[#This Row],[Product ID]],2)</f>
        <v>17</v>
      </c>
      <c r="C16" s="6" t="str">
        <f>RIGHT(Table1[[#This Row],[Product ID]],2)</f>
        <v>IN</v>
      </c>
      <c r="D16" s="6" t="str">
        <f>MID(Table1[[#This Row],[Product ID]],4,3)</f>
        <v>JUN</v>
      </c>
      <c r="E16" s="18" t="s">
        <v>7</v>
      </c>
      <c r="F16" s="18" t="s">
        <v>41</v>
      </c>
      <c r="G16" s="9">
        <v>950</v>
      </c>
      <c r="H16" s="9" t="str">
        <f>IF(Table1[[#This Row],[Price ($)]]&lt;100,"Yes", "No")</f>
        <v>No</v>
      </c>
      <c r="I16" s="39" t="str">
        <f>IF(Table1[[#This Row],[Price ($)]]&gt;500,"High Price","Standard Price")</f>
        <v>High Price</v>
      </c>
      <c r="J16" s="12">
        <v>25</v>
      </c>
      <c r="K16" s="9">
        <f>+Table1[[#This Row],[Quantity]]*Table1[[#This Row],[Price ($)]]</f>
        <v>23750</v>
      </c>
      <c r="L16" s="15" t="s">
        <v>9</v>
      </c>
      <c r="M16" s="3"/>
    </row>
    <row r="17" spans="1:13" ht="15.75" customHeight="1" x14ac:dyDescent="0.2">
      <c r="A17" s="7" t="s">
        <v>42</v>
      </c>
      <c r="B17" s="7" t="str">
        <f>LEFT(Table1[[#This Row],[Product ID]],2)</f>
        <v>25</v>
      </c>
      <c r="C17" s="7" t="str">
        <f>RIGHT(Table1[[#This Row],[Product ID]],2)</f>
        <v>AU</v>
      </c>
      <c r="D17" s="7" t="str">
        <f>MID(Table1[[#This Row],[Product ID]],4,3)</f>
        <v>NOV</v>
      </c>
      <c r="E17" s="19" t="s">
        <v>11</v>
      </c>
      <c r="F17" s="19" t="s">
        <v>30</v>
      </c>
      <c r="G17" s="10">
        <v>90</v>
      </c>
      <c r="H17" s="10" t="str">
        <f>IF(Table1[[#This Row],[Price ($)]]&lt;100,"Yes", "No")</f>
        <v>Yes</v>
      </c>
      <c r="I17" s="40" t="str">
        <f>IF(Table1[[#This Row],[Price ($)]]&gt;500,"High Price","Standard Price")</f>
        <v>Standard Price</v>
      </c>
      <c r="J17" s="13">
        <v>40</v>
      </c>
      <c r="K17" s="10">
        <f>+Table1[[#This Row],[Quantity]]*Table1[[#This Row],[Price ($)]]</f>
        <v>3600</v>
      </c>
      <c r="L17" s="16" t="s">
        <v>13</v>
      </c>
      <c r="M17" s="3"/>
    </row>
    <row r="18" spans="1:13" ht="15.75" customHeight="1" x14ac:dyDescent="0.2">
      <c r="A18" s="6" t="s">
        <v>43</v>
      </c>
      <c r="B18" s="6" t="str">
        <f>LEFT(Table1[[#This Row],[Product ID]],2)</f>
        <v>08</v>
      </c>
      <c r="C18" s="6" t="str">
        <f>RIGHT(Table1[[#This Row],[Product ID]],2)</f>
        <v>DE</v>
      </c>
      <c r="D18" s="6" t="str">
        <f>MID(Table1[[#This Row],[Product ID]],4,3)</f>
        <v>DEC</v>
      </c>
      <c r="E18" s="18" t="s">
        <v>15</v>
      </c>
      <c r="F18" s="18" t="s">
        <v>44</v>
      </c>
      <c r="G18" s="9">
        <v>120</v>
      </c>
      <c r="H18" s="9" t="str">
        <f>IF(Table1[[#This Row],[Price ($)]]&lt;100,"Yes", "No")</f>
        <v>No</v>
      </c>
      <c r="I18" s="39" t="str">
        <f>IF(Table1[[#This Row],[Price ($)]]&gt;500,"High Price","Standard Price")</f>
        <v>Standard Price</v>
      </c>
      <c r="J18" s="12">
        <v>35</v>
      </c>
      <c r="K18" s="9">
        <f>+Table1[[#This Row],[Quantity]]*Table1[[#This Row],[Price ($)]]</f>
        <v>4200</v>
      </c>
      <c r="L18" s="15" t="s">
        <v>17</v>
      </c>
      <c r="M18" s="3"/>
    </row>
    <row r="19" spans="1:13" ht="15.75" customHeight="1" x14ac:dyDescent="0.2">
      <c r="A19" s="7" t="s">
        <v>45</v>
      </c>
      <c r="B19" s="7" t="str">
        <f>LEFT(Table1[[#This Row],[Product ID]],2)</f>
        <v>18</v>
      </c>
      <c r="C19" s="7" t="str">
        <f>RIGHT(Table1[[#This Row],[Product ID]],2)</f>
        <v>CA</v>
      </c>
      <c r="D19" s="7" t="str">
        <f>MID(Table1[[#This Row],[Product ID]],4,3)</f>
        <v>FEB</v>
      </c>
      <c r="E19" s="19" t="s">
        <v>46</v>
      </c>
      <c r="F19" s="19" t="s">
        <v>47</v>
      </c>
      <c r="G19" s="10">
        <v>150</v>
      </c>
      <c r="H19" s="10" t="str">
        <f>IF(Table1[[#This Row],[Price ($)]]&lt;100,"Yes", "No")</f>
        <v>No</v>
      </c>
      <c r="I19" s="40" t="str">
        <f>IF(Table1[[#This Row],[Price ($)]]&gt;500,"High Price","Standard Price")</f>
        <v>Standard Price</v>
      </c>
      <c r="J19" s="13">
        <v>15</v>
      </c>
      <c r="K19" s="10">
        <f>+Table1[[#This Row],[Quantity]]*Table1[[#This Row],[Price ($)]]</f>
        <v>2250</v>
      </c>
      <c r="L19" s="16" t="s">
        <v>9</v>
      </c>
      <c r="M19" s="3"/>
    </row>
    <row r="20" spans="1:13" ht="15.75" customHeight="1" x14ac:dyDescent="0.2">
      <c r="A20" s="6" t="s">
        <v>48</v>
      </c>
      <c r="B20" s="6" t="str">
        <f>LEFT(Table1[[#This Row],[Product ID]],2)</f>
        <v>16</v>
      </c>
      <c r="C20" s="6" t="str">
        <f>RIGHT(Table1[[#This Row],[Product ID]],2)</f>
        <v>ES</v>
      </c>
      <c r="D20" s="6" t="str">
        <f>MID(Table1[[#This Row],[Product ID]],4,3)</f>
        <v>APR</v>
      </c>
      <c r="E20" s="18" t="s">
        <v>26</v>
      </c>
      <c r="F20" s="18" t="s">
        <v>49</v>
      </c>
      <c r="G20" s="9">
        <v>250</v>
      </c>
      <c r="H20" s="9" t="str">
        <f>IF(Table1[[#This Row],[Price ($)]]&lt;100,"Yes", "No")</f>
        <v>No</v>
      </c>
      <c r="I20" s="39" t="str">
        <f>IF(Table1[[#This Row],[Price ($)]]&gt;500,"High Price","Standard Price")</f>
        <v>Standard Price</v>
      </c>
      <c r="J20" s="12">
        <v>20</v>
      </c>
      <c r="K20" s="9">
        <f>+Table1[[#This Row],[Quantity]]*Table1[[#This Row],[Price ($)]]</f>
        <v>5000</v>
      </c>
      <c r="L20" s="15" t="s">
        <v>9</v>
      </c>
      <c r="M20" s="3"/>
    </row>
    <row r="21" spans="1:13" ht="15.75" customHeight="1" x14ac:dyDescent="0.2">
      <c r="A21" s="7" t="s">
        <v>50</v>
      </c>
      <c r="B21" s="7" t="str">
        <f>LEFT(Table1[[#This Row],[Product ID]],2)</f>
        <v>21</v>
      </c>
      <c r="C21" s="7" t="str">
        <f>RIGHT(Table1[[#This Row],[Product ID]],2)</f>
        <v>CA</v>
      </c>
      <c r="D21" s="7" t="str">
        <f>MID(Table1[[#This Row],[Product ID]],4,3)</f>
        <v>AUG</v>
      </c>
      <c r="E21" s="19" t="s">
        <v>51</v>
      </c>
      <c r="F21" s="19" t="s">
        <v>52</v>
      </c>
      <c r="G21" s="10">
        <v>50</v>
      </c>
      <c r="H21" s="10" t="str">
        <f>IF(Table1[[#This Row],[Price ($)]]&lt;100,"Yes", "No")</f>
        <v>Yes</v>
      </c>
      <c r="I21" s="40" t="str">
        <f>IF(Table1[[#This Row],[Price ($)]]&gt;500,"High Price","Standard Price")</f>
        <v>Standard Price</v>
      </c>
      <c r="J21" s="13">
        <v>35</v>
      </c>
      <c r="K21" s="10">
        <f>+Table1[[#This Row],[Quantity]]*Table1[[#This Row],[Price ($)]]</f>
        <v>1750</v>
      </c>
      <c r="L21" s="16" t="s">
        <v>53</v>
      </c>
      <c r="M21" s="3"/>
    </row>
    <row r="22" spans="1:13" ht="15.75" customHeight="1" x14ac:dyDescent="0.2">
      <c r="A22" s="6" t="s">
        <v>54</v>
      </c>
      <c r="B22" s="6" t="str">
        <f>LEFT(Table1[[#This Row],[Product ID]],2)</f>
        <v>20</v>
      </c>
      <c r="C22" s="6" t="str">
        <f>RIGHT(Table1[[#This Row],[Product ID]],2)</f>
        <v>CN</v>
      </c>
      <c r="D22" s="6" t="str">
        <f>MID(Table1[[#This Row],[Product ID]],4,3)</f>
        <v>AUG</v>
      </c>
      <c r="E22" s="18" t="s">
        <v>46</v>
      </c>
      <c r="F22" s="18" t="s">
        <v>55</v>
      </c>
      <c r="G22" s="9">
        <v>160</v>
      </c>
      <c r="H22" s="9" t="str">
        <f>IF(Table1[[#This Row],[Price ($)]]&lt;100,"Yes", "No")</f>
        <v>No</v>
      </c>
      <c r="I22" s="39" t="str">
        <f>IF(Table1[[#This Row],[Price ($)]]&gt;500,"High Price","Standard Price")</f>
        <v>Standard Price</v>
      </c>
      <c r="J22" s="12">
        <v>15</v>
      </c>
      <c r="K22" s="9">
        <f>+Table1[[#This Row],[Quantity]]*Table1[[#This Row],[Price ($)]]</f>
        <v>2400</v>
      </c>
      <c r="L22" s="15" t="s">
        <v>9</v>
      </c>
      <c r="M22" s="3"/>
    </row>
    <row r="23" spans="1:13" ht="15.75" customHeight="1" x14ac:dyDescent="0.2">
      <c r="A23" s="7" t="s">
        <v>56</v>
      </c>
      <c r="B23" s="7" t="str">
        <f>LEFT(Table1[[#This Row],[Product ID]],2)</f>
        <v>27</v>
      </c>
      <c r="C23" s="7" t="str">
        <f>RIGHT(Table1[[#This Row],[Product ID]],2)</f>
        <v>IT</v>
      </c>
      <c r="D23" s="7" t="str">
        <f>MID(Table1[[#This Row],[Product ID]],4,3)</f>
        <v>JAN</v>
      </c>
      <c r="E23" s="19" t="s">
        <v>7</v>
      </c>
      <c r="F23" s="19" t="s">
        <v>57</v>
      </c>
      <c r="G23" s="10">
        <v>980</v>
      </c>
      <c r="H23" s="10" t="str">
        <f>IF(Table1[[#This Row],[Price ($)]]&lt;100,"Yes", "No")</f>
        <v>No</v>
      </c>
      <c r="I23" s="40" t="str">
        <f>IF(Table1[[#This Row],[Price ($)]]&gt;500,"High Price","Standard Price")</f>
        <v>High Price</v>
      </c>
      <c r="J23" s="13">
        <v>10</v>
      </c>
      <c r="K23" s="10">
        <f>+Table1[[#This Row],[Quantity]]*Table1[[#This Row],[Price ($)]]</f>
        <v>9800</v>
      </c>
      <c r="L23" s="16" t="s">
        <v>9</v>
      </c>
      <c r="M23" s="3"/>
    </row>
    <row r="24" spans="1:13" ht="15.75" customHeight="1" x14ac:dyDescent="0.2">
      <c r="A24" s="6" t="s">
        <v>58</v>
      </c>
      <c r="B24" s="6" t="str">
        <f>LEFT(Table1[[#This Row],[Product ID]],2)</f>
        <v>01</v>
      </c>
      <c r="C24" s="6" t="str">
        <f>RIGHT(Table1[[#This Row],[Product ID]],2)</f>
        <v>UK</v>
      </c>
      <c r="D24" s="6" t="str">
        <f>MID(Table1[[#This Row],[Product ID]],4,3)</f>
        <v>MAR</v>
      </c>
      <c r="E24" s="18" t="s">
        <v>59</v>
      </c>
      <c r="F24" s="18" t="s">
        <v>60</v>
      </c>
      <c r="G24" s="9">
        <v>150</v>
      </c>
      <c r="H24" s="9" t="str">
        <f>IF(Table1[[#This Row],[Price ($)]]&lt;100,"Yes", "No")</f>
        <v>No</v>
      </c>
      <c r="I24" s="39" t="str">
        <f>IF(Table1[[#This Row],[Price ($)]]&gt;500,"High Price","Standard Price")</f>
        <v>Standard Price</v>
      </c>
      <c r="J24" s="12">
        <v>15</v>
      </c>
      <c r="K24" s="9">
        <f>+Table1[[#This Row],[Quantity]]*Table1[[#This Row],[Price ($)]]</f>
        <v>2250</v>
      </c>
      <c r="L24" s="15" t="s">
        <v>13</v>
      </c>
      <c r="M24" s="3"/>
    </row>
    <row r="25" spans="1:13" ht="15.75" customHeight="1" x14ac:dyDescent="0.2">
      <c r="A25" s="7" t="s">
        <v>61</v>
      </c>
      <c r="B25" s="7" t="str">
        <f>LEFT(Table1[[#This Row],[Product ID]],2)</f>
        <v>14</v>
      </c>
      <c r="C25" s="7" t="str">
        <f>RIGHT(Table1[[#This Row],[Product ID]],2)</f>
        <v>US</v>
      </c>
      <c r="D25" s="7" t="str">
        <f>MID(Table1[[#This Row],[Product ID]],4,3)</f>
        <v>AUG</v>
      </c>
      <c r="E25" s="19" t="s">
        <v>62</v>
      </c>
      <c r="F25" s="19" t="s">
        <v>63</v>
      </c>
      <c r="G25" s="10">
        <v>200</v>
      </c>
      <c r="H25" s="10" t="str">
        <f>IF(Table1[[#This Row],[Price ($)]]&lt;100,"Yes", "No")</f>
        <v>No</v>
      </c>
      <c r="I25" s="40" t="str">
        <f>IF(Table1[[#This Row],[Price ($)]]&gt;500,"High Price","Standard Price")</f>
        <v>Standard Price</v>
      </c>
      <c r="J25" s="13">
        <v>10</v>
      </c>
      <c r="K25" s="10">
        <f>+Table1[[#This Row],[Quantity]]*Table1[[#This Row],[Price ($)]]</f>
        <v>2000</v>
      </c>
      <c r="L25" s="16" t="s">
        <v>24</v>
      </c>
      <c r="M25" s="3"/>
    </row>
    <row r="26" spans="1:13" ht="15.75" customHeight="1" x14ac:dyDescent="0.2">
      <c r="A26" s="6" t="s">
        <v>64</v>
      </c>
      <c r="B26" s="6" t="str">
        <f>LEFT(Table1[[#This Row],[Product ID]],2)</f>
        <v>14</v>
      </c>
      <c r="C26" s="6" t="str">
        <f>RIGHT(Table1[[#This Row],[Product ID]],2)</f>
        <v>RU</v>
      </c>
      <c r="D26" s="6" t="str">
        <f>MID(Table1[[#This Row],[Product ID]],4,3)</f>
        <v>MAY</v>
      </c>
      <c r="E26" s="18" t="s">
        <v>65</v>
      </c>
      <c r="F26" s="18" t="s">
        <v>66</v>
      </c>
      <c r="G26" s="9">
        <v>700</v>
      </c>
      <c r="H26" s="9" t="str">
        <f>IF(Table1[[#This Row],[Price ($)]]&lt;100,"Yes", "No")</f>
        <v>No</v>
      </c>
      <c r="I26" s="39" t="str">
        <f>IF(Table1[[#This Row],[Price ($)]]&gt;500,"High Price","Standard Price")</f>
        <v>High Price</v>
      </c>
      <c r="J26" s="12">
        <v>50</v>
      </c>
      <c r="K26" s="9">
        <f>+Table1[[#This Row],[Quantity]]*Table1[[#This Row],[Price ($)]]</f>
        <v>35000</v>
      </c>
      <c r="L26" s="15" t="s">
        <v>9</v>
      </c>
      <c r="M26" s="3"/>
    </row>
    <row r="27" spans="1:13" ht="15.75" customHeight="1" x14ac:dyDescent="0.2">
      <c r="A27" s="7" t="s">
        <v>67</v>
      </c>
      <c r="B27" s="7" t="str">
        <f>LEFT(Table1[[#This Row],[Product ID]],2)</f>
        <v>09</v>
      </c>
      <c r="C27" s="7" t="str">
        <f>RIGHT(Table1[[#This Row],[Product ID]],2)</f>
        <v>CA</v>
      </c>
      <c r="D27" s="7" t="str">
        <f>MID(Table1[[#This Row],[Product ID]],4,3)</f>
        <v>JAN</v>
      </c>
      <c r="E27" s="19" t="s">
        <v>68</v>
      </c>
      <c r="F27" s="19" t="s">
        <v>69</v>
      </c>
      <c r="G27" s="10">
        <v>80</v>
      </c>
      <c r="H27" s="10" t="str">
        <f>IF(Table1[[#This Row],[Price ($)]]&lt;100,"Yes", "No")</f>
        <v>Yes</v>
      </c>
      <c r="I27" s="40" t="str">
        <f>IF(Table1[[#This Row],[Price ($)]]&gt;500,"High Price","Standard Price")</f>
        <v>Standard Price</v>
      </c>
      <c r="J27" s="13">
        <v>20</v>
      </c>
      <c r="K27" s="10">
        <f>+Table1[[#This Row],[Quantity]]*Table1[[#This Row],[Price ($)]]</f>
        <v>1600</v>
      </c>
      <c r="L27" s="16" t="s">
        <v>17</v>
      </c>
      <c r="M27" s="3"/>
    </row>
    <row r="28" spans="1:13" ht="15.75" customHeight="1" x14ac:dyDescent="0.2">
      <c r="A28" s="6" t="s">
        <v>70</v>
      </c>
      <c r="B28" s="6" t="str">
        <f>LEFT(Table1[[#This Row],[Product ID]],2)</f>
        <v>19</v>
      </c>
      <c r="C28" s="6" t="str">
        <f>RIGHT(Table1[[#This Row],[Product ID]],2)</f>
        <v>BR</v>
      </c>
      <c r="D28" s="6" t="str">
        <f>MID(Table1[[#This Row],[Product ID]],4,3)</f>
        <v>JUL</v>
      </c>
      <c r="E28" s="18" t="s">
        <v>71</v>
      </c>
      <c r="F28" s="18" t="s">
        <v>72</v>
      </c>
      <c r="G28" s="9">
        <v>150</v>
      </c>
      <c r="H28" s="9" t="str">
        <f>IF(Table1[[#This Row],[Price ($)]]&lt;100,"Yes", "No")</f>
        <v>No</v>
      </c>
      <c r="I28" s="39" t="str">
        <f>IF(Table1[[#This Row],[Price ($)]]&gt;500,"High Price","Standard Price")</f>
        <v>Standard Price</v>
      </c>
      <c r="J28" s="12">
        <v>30</v>
      </c>
      <c r="K28" s="9">
        <f>+Table1[[#This Row],[Quantity]]*Table1[[#This Row],[Price ($)]]</f>
        <v>4500</v>
      </c>
      <c r="L28" s="15" t="s">
        <v>9</v>
      </c>
      <c r="M28" s="3"/>
    </row>
    <row r="29" spans="1:13" ht="15.75" customHeight="1" x14ac:dyDescent="0.2">
      <c r="A29" s="7" t="s">
        <v>50</v>
      </c>
      <c r="B29" s="7" t="str">
        <f>LEFT(Table1[[#This Row],[Product ID]],2)</f>
        <v>21</v>
      </c>
      <c r="C29" s="7" t="str">
        <f>RIGHT(Table1[[#This Row],[Product ID]],2)</f>
        <v>CA</v>
      </c>
      <c r="D29" s="7" t="str">
        <f>MID(Table1[[#This Row],[Product ID]],4,3)</f>
        <v>AUG</v>
      </c>
      <c r="E29" s="19" t="s">
        <v>51</v>
      </c>
      <c r="F29" s="19" t="s">
        <v>52</v>
      </c>
      <c r="G29" s="10">
        <v>50</v>
      </c>
      <c r="H29" s="10" t="str">
        <f>IF(Table1[[#This Row],[Price ($)]]&lt;100,"Yes", "No")</f>
        <v>Yes</v>
      </c>
      <c r="I29" s="40" t="str">
        <f>IF(Table1[[#This Row],[Price ($)]]&gt;500,"High Price","Standard Price")</f>
        <v>Standard Price</v>
      </c>
      <c r="J29" s="13">
        <v>35</v>
      </c>
      <c r="K29" s="10">
        <f>+Table1[[#This Row],[Quantity]]*Table1[[#This Row],[Price ($)]]</f>
        <v>1750</v>
      </c>
      <c r="L29" s="16" t="s">
        <v>53</v>
      </c>
      <c r="M29" s="5"/>
    </row>
    <row r="30" spans="1:13" ht="15.75" customHeight="1" x14ac:dyDescent="0.2">
      <c r="A30" s="6" t="s">
        <v>73</v>
      </c>
      <c r="B30" s="6" t="str">
        <f>LEFT(Table1[[#This Row],[Product ID]],2)</f>
        <v>29</v>
      </c>
      <c r="C30" s="6" t="str">
        <f>RIGHT(Table1[[#This Row],[Product ID]],2)</f>
        <v>CA</v>
      </c>
      <c r="D30" s="6" t="str">
        <f>MID(Table1[[#This Row],[Product ID]],4,3)</f>
        <v>SEP</v>
      </c>
      <c r="E30" s="18" t="s">
        <v>19</v>
      </c>
      <c r="F30" s="18" t="s">
        <v>74</v>
      </c>
      <c r="G30" s="9">
        <v>800</v>
      </c>
      <c r="H30" s="9" t="str">
        <f>IF(Table1[[#This Row],[Price ($)]]&lt;100,"Yes", "No")</f>
        <v>No</v>
      </c>
      <c r="I30" s="39" t="str">
        <f>IF(Table1[[#This Row],[Price ($)]]&gt;500,"High Price","Standard Price")</f>
        <v>High Price</v>
      </c>
      <c r="J30" s="12">
        <v>45</v>
      </c>
      <c r="K30" s="9">
        <f>+Table1[[#This Row],[Quantity]]*Table1[[#This Row],[Price ($)]]</f>
        <v>36000</v>
      </c>
      <c r="L30" s="15" t="s">
        <v>9</v>
      </c>
      <c r="M30" s="3"/>
    </row>
    <row r="31" spans="1:13" ht="15.75" customHeight="1" x14ac:dyDescent="0.2">
      <c r="A31" s="7" t="s">
        <v>75</v>
      </c>
      <c r="B31" s="7" t="str">
        <f>LEFT(Table1[[#This Row],[Product ID]],2)</f>
        <v>03</v>
      </c>
      <c r="C31" s="7" t="str">
        <f>RIGHT(Table1[[#This Row],[Product ID]],2)</f>
        <v>CA</v>
      </c>
      <c r="D31" s="7" t="str">
        <f>MID(Table1[[#This Row],[Product ID]],4,3)</f>
        <v>JUN</v>
      </c>
      <c r="E31" s="19" t="s">
        <v>59</v>
      </c>
      <c r="F31" s="19" t="s">
        <v>76</v>
      </c>
      <c r="G31" s="10">
        <v>130</v>
      </c>
      <c r="H31" s="10" t="str">
        <f>IF(Table1[[#This Row],[Price ($)]]&lt;100,"Yes", "No")</f>
        <v>No</v>
      </c>
      <c r="I31" s="40" t="str">
        <f>IF(Table1[[#This Row],[Price ($)]]&gt;500,"High Price","Standard Price")</f>
        <v>Standard Price</v>
      </c>
      <c r="J31" s="13">
        <v>25</v>
      </c>
      <c r="K31" s="10">
        <f>+Table1[[#This Row],[Quantity]]*Table1[[#This Row],[Price ($)]]</f>
        <v>3250</v>
      </c>
      <c r="L31" s="16" t="s">
        <v>13</v>
      </c>
      <c r="M31" s="3"/>
    </row>
    <row r="32" spans="1:13" ht="15.75" customHeight="1" x14ac:dyDescent="0.2">
      <c r="A32" s="6" t="s">
        <v>77</v>
      </c>
      <c r="B32" s="6" t="str">
        <f>LEFT(Table1[[#This Row],[Product ID]],2)</f>
        <v>11</v>
      </c>
      <c r="C32" s="6" t="str">
        <f>RIGHT(Table1[[#This Row],[Product ID]],2)</f>
        <v>CA</v>
      </c>
      <c r="D32" s="6" t="str">
        <f>MID(Table1[[#This Row],[Product ID]],4,3)</f>
        <v>JUL</v>
      </c>
      <c r="E32" s="18" t="s">
        <v>32</v>
      </c>
      <c r="F32" s="18" t="s">
        <v>78</v>
      </c>
      <c r="G32" s="9">
        <v>400</v>
      </c>
      <c r="H32" s="9" t="str">
        <f>IF(Table1[[#This Row],[Price ($)]]&lt;100,"Yes", "No")</f>
        <v>No</v>
      </c>
      <c r="I32" s="39" t="str">
        <f>IF(Table1[[#This Row],[Price ($)]]&gt;500,"High Price","Standard Price")</f>
        <v>Standard Price</v>
      </c>
      <c r="J32" s="12">
        <v>40</v>
      </c>
      <c r="K32" s="9">
        <f>+Table1[[#This Row],[Quantity]]*Table1[[#This Row],[Price ($)]]</f>
        <v>16000</v>
      </c>
      <c r="L32" s="15" t="s">
        <v>17</v>
      </c>
      <c r="M32" s="3"/>
    </row>
    <row r="33" spans="1:13" ht="15.75" customHeight="1" x14ac:dyDescent="0.2">
      <c r="A33" s="7" t="s">
        <v>48</v>
      </c>
      <c r="B33" s="7" t="str">
        <f>LEFT(Table1[[#This Row],[Product ID]],2)</f>
        <v>16</v>
      </c>
      <c r="C33" s="7" t="str">
        <f>RIGHT(Table1[[#This Row],[Product ID]],2)</f>
        <v>ES</v>
      </c>
      <c r="D33" s="7" t="str">
        <f>MID(Table1[[#This Row],[Product ID]],4,3)</f>
        <v>APR</v>
      </c>
      <c r="E33" s="19" t="s">
        <v>26</v>
      </c>
      <c r="F33" s="19" t="s">
        <v>49</v>
      </c>
      <c r="G33" s="10">
        <v>230</v>
      </c>
      <c r="H33" s="10" t="str">
        <f>IF(Table1[[#This Row],[Price ($)]]&lt;100,"Yes", "No")</f>
        <v>No</v>
      </c>
      <c r="I33" s="40" t="str">
        <f>IF(Table1[[#This Row],[Price ($)]]&gt;500,"High Price","Standard Price")</f>
        <v>Standard Price</v>
      </c>
      <c r="J33" s="13">
        <v>20</v>
      </c>
      <c r="K33" s="10">
        <f>+Table1[[#This Row],[Quantity]]*Table1[[#This Row],[Price ($)]]</f>
        <v>4600</v>
      </c>
      <c r="L33" s="16" t="s">
        <v>9</v>
      </c>
      <c r="M33" s="5"/>
    </row>
    <row r="34" spans="1:13" ht="15.75" customHeight="1" x14ac:dyDescent="0.2">
      <c r="A34" s="6" t="s">
        <v>79</v>
      </c>
      <c r="B34" s="6" t="str">
        <f>LEFT(Table1[[#This Row],[Product ID]],2)</f>
        <v>07</v>
      </c>
      <c r="C34" s="6" t="str">
        <f>RIGHT(Table1[[#This Row],[Product ID]],2)</f>
        <v>CA</v>
      </c>
      <c r="D34" s="6" t="str">
        <f>MID(Table1[[#This Row],[Product ID]],4,3)</f>
        <v>MAR</v>
      </c>
      <c r="E34" s="18" t="s">
        <v>80</v>
      </c>
      <c r="F34" s="18" t="s">
        <v>81</v>
      </c>
      <c r="G34" s="9">
        <v>60</v>
      </c>
      <c r="H34" s="9" t="str">
        <f>IF(Table1[[#This Row],[Price ($)]]&lt;100,"Yes", "No")</f>
        <v>Yes</v>
      </c>
      <c r="I34" s="39" t="str">
        <f>IF(Table1[[#This Row],[Price ($)]]&gt;500,"High Price","Standard Price")</f>
        <v>Standard Price</v>
      </c>
      <c r="J34" s="12">
        <v>30</v>
      </c>
      <c r="K34" s="9">
        <f>+Table1[[#This Row],[Quantity]]*Table1[[#This Row],[Price ($)]]</f>
        <v>1800</v>
      </c>
      <c r="L34" s="15" t="s">
        <v>13</v>
      </c>
      <c r="M34" s="3"/>
    </row>
    <row r="35" spans="1:13" ht="15.75" customHeight="1" x14ac:dyDescent="0.2">
      <c r="A35" s="7" t="s">
        <v>82</v>
      </c>
      <c r="B35" s="7" t="str">
        <f>LEFT(Table1[[#This Row],[Product ID]],2)</f>
        <v>13</v>
      </c>
      <c r="C35" s="7" t="str">
        <f>RIGHT(Table1[[#This Row],[Product ID]],2)</f>
        <v>CA</v>
      </c>
      <c r="D35" s="7" t="str">
        <f>MID(Table1[[#This Row],[Product ID]],4,3)</f>
        <v>APR</v>
      </c>
      <c r="E35" s="19" t="s">
        <v>83</v>
      </c>
      <c r="F35" s="19" t="s">
        <v>84</v>
      </c>
      <c r="G35" s="10">
        <v>40</v>
      </c>
      <c r="H35" s="10" t="str">
        <f>IF(Table1[[#This Row],[Price ($)]]&lt;100,"Yes", "No")</f>
        <v>Yes</v>
      </c>
      <c r="I35" s="40" t="str">
        <f>IF(Table1[[#This Row],[Price ($)]]&gt;500,"High Price","Standard Price")</f>
        <v>Standard Price</v>
      </c>
      <c r="J35" s="13">
        <v>10</v>
      </c>
      <c r="K35" s="10">
        <f>+Table1[[#This Row],[Quantity]]*Table1[[#This Row],[Price ($)]]</f>
        <v>400</v>
      </c>
      <c r="L35" s="16" t="s">
        <v>17</v>
      </c>
      <c r="M35" s="3"/>
    </row>
    <row r="36" spans="1:13" ht="15.75" customHeight="1" x14ac:dyDescent="0.2">
      <c r="A36" s="6" t="s">
        <v>85</v>
      </c>
      <c r="B36" s="6" t="str">
        <f>LEFT(Table1[[#This Row],[Product ID]],2)</f>
        <v>24</v>
      </c>
      <c r="C36" s="6" t="str">
        <f>RIGHT(Table1[[#This Row],[Product ID]],2)</f>
        <v>CA</v>
      </c>
      <c r="D36" s="6" t="str">
        <f>MID(Table1[[#This Row],[Product ID]],4,3)</f>
        <v>MAY</v>
      </c>
      <c r="E36" s="18" t="s">
        <v>71</v>
      </c>
      <c r="F36" s="18" t="s">
        <v>86</v>
      </c>
      <c r="G36" s="9">
        <v>130</v>
      </c>
      <c r="H36" s="9" t="str">
        <f>IF(Table1[[#This Row],[Price ($)]]&lt;100,"Yes", "No")</f>
        <v>No</v>
      </c>
      <c r="I36" s="39" t="str">
        <f>IF(Table1[[#This Row],[Price ($)]]&gt;500,"High Price","Standard Price")</f>
        <v>Standard Price</v>
      </c>
      <c r="J36" s="12">
        <v>5</v>
      </c>
      <c r="K36" s="9">
        <f>+Table1[[#This Row],[Quantity]]*Table1[[#This Row],[Price ($)]]</f>
        <v>650</v>
      </c>
      <c r="L36" s="15" t="s">
        <v>9</v>
      </c>
      <c r="M36" s="3"/>
    </row>
    <row r="37" spans="1:13" ht="15.75" customHeight="1" x14ac:dyDescent="0.2">
      <c r="A37" s="7" t="s">
        <v>87</v>
      </c>
      <c r="B37" s="7" t="str">
        <f>LEFT(Table1[[#This Row],[Product ID]],2)</f>
        <v>02</v>
      </c>
      <c r="C37" s="7" t="str">
        <f>RIGHT(Table1[[#This Row],[Product ID]],2)</f>
        <v>CA</v>
      </c>
      <c r="D37" s="7" t="str">
        <f>MID(Table1[[#This Row],[Product ID]],4,3)</f>
        <v>DEC</v>
      </c>
      <c r="E37" s="19" t="s">
        <v>88</v>
      </c>
      <c r="F37" s="19" t="s">
        <v>89</v>
      </c>
      <c r="G37" s="10">
        <v>50</v>
      </c>
      <c r="H37" s="10" t="str">
        <f>IF(Table1[[#This Row],[Price ($)]]&lt;100,"Yes", "No")</f>
        <v>Yes</v>
      </c>
      <c r="I37" s="40" t="str">
        <f>IF(Table1[[#This Row],[Price ($)]]&gt;500,"High Price","Standard Price")</f>
        <v>Standard Price</v>
      </c>
      <c r="J37" s="13">
        <v>50</v>
      </c>
      <c r="K37" s="10">
        <f>+Table1[[#This Row],[Quantity]]*Table1[[#This Row],[Price ($)]]</f>
        <v>2500</v>
      </c>
      <c r="L37" s="16" t="s">
        <v>13</v>
      </c>
      <c r="M37" s="3"/>
    </row>
    <row r="38" spans="1:13" ht="15.75" customHeight="1" x14ac:dyDescent="0.2">
      <c r="A38" s="6" t="s">
        <v>40</v>
      </c>
      <c r="B38" s="6" t="str">
        <f>LEFT(Table1[[#This Row],[Product ID]],2)</f>
        <v>17</v>
      </c>
      <c r="C38" s="6" t="str">
        <f>RIGHT(Table1[[#This Row],[Product ID]],2)</f>
        <v>IN</v>
      </c>
      <c r="D38" s="6" t="str">
        <f>MID(Table1[[#This Row],[Product ID]],4,3)</f>
        <v>JUN</v>
      </c>
      <c r="E38" s="18" t="s">
        <v>7</v>
      </c>
      <c r="F38" s="18" t="s">
        <v>41</v>
      </c>
      <c r="G38" s="9">
        <v>950</v>
      </c>
      <c r="H38" s="9" t="str">
        <f>IF(Table1[[#This Row],[Price ($)]]&lt;100,"Yes", "No")</f>
        <v>No</v>
      </c>
      <c r="I38" s="39" t="str">
        <f>IF(Table1[[#This Row],[Price ($)]]&gt;500,"High Price","Standard Price")</f>
        <v>High Price</v>
      </c>
      <c r="J38" s="12">
        <v>25</v>
      </c>
      <c r="K38" s="9">
        <f>+Table1[[#This Row],[Quantity]]*Table1[[#This Row],[Price ($)]]</f>
        <v>23750</v>
      </c>
      <c r="L38" s="15" t="s">
        <v>9</v>
      </c>
      <c r="M38" s="3"/>
    </row>
    <row r="39" spans="1:13" ht="15.75" customHeight="1" x14ac:dyDescent="0.2">
      <c r="A39" s="8" t="s">
        <v>90</v>
      </c>
      <c r="B39" s="8" t="str">
        <f>LEFT(Table1[[#This Row],[Product ID]],2)</f>
        <v>09</v>
      </c>
      <c r="C39" s="8" t="str">
        <f>RIGHT(Table1[[#This Row],[Product ID]],2)</f>
        <v>FR</v>
      </c>
      <c r="D39" s="8" t="str">
        <f>MID(Table1[[#This Row],[Product ID]],4,3)</f>
        <v>JUL</v>
      </c>
      <c r="E39" s="20" t="s">
        <v>91</v>
      </c>
      <c r="F39" s="20" t="s">
        <v>92</v>
      </c>
      <c r="G39" s="11">
        <v>100</v>
      </c>
      <c r="H39" s="11" t="str">
        <f>IF(Table1[[#This Row],[Price ($)]]&lt;100,"Yes", "No")</f>
        <v>No</v>
      </c>
      <c r="I39" s="41" t="str">
        <f>IF(Table1[[#This Row],[Price ($)]]&gt;500,"High Price","Standard Price")</f>
        <v>Standard Price</v>
      </c>
      <c r="J39" s="14">
        <v>20</v>
      </c>
      <c r="K39" s="11">
        <f>+Table1[[#This Row],[Quantity]]*Table1[[#This Row],[Price ($)]]</f>
        <v>2000</v>
      </c>
      <c r="L39" s="17" t="s">
        <v>53</v>
      </c>
      <c r="M39" s="3"/>
    </row>
    <row r="40" spans="1:13" ht="15.75" customHeight="1" x14ac:dyDescent="0.2"/>
    <row r="41" spans="1:13" ht="15.75" customHeight="1" x14ac:dyDescent="0.2"/>
    <row r="42" spans="1:13" ht="15.75" customHeight="1" x14ac:dyDescent="0.2"/>
    <row r="43" spans="1:13" ht="15.75" customHeight="1" x14ac:dyDescent="0.2"/>
    <row r="44" spans="1:13" ht="15.75" customHeight="1" x14ac:dyDescent="0.2"/>
    <row r="45" spans="1:13" ht="15.75" customHeight="1" x14ac:dyDescent="0.2"/>
    <row r="46" spans="1:13" ht="15.75" customHeight="1" x14ac:dyDescent="0.2"/>
    <row r="47" spans="1:13" ht="15.75" customHeight="1" x14ac:dyDescent="0.2"/>
    <row r="48" spans="1:1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mergeCells count="8">
    <mergeCell ref="B1:F3"/>
    <mergeCell ref="T5:U5"/>
    <mergeCell ref="T6:T7"/>
    <mergeCell ref="U6:U7"/>
    <mergeCell ref="T8:T9"/>
    <mergeCell ref="U8:U9"/>
    <mergeCell ref="N5:O5"/>
    <mergeCell ref="Q5:R5"/>
  </mergeCells>
  <phoneticPr fontId="10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Dataset - Data Exploration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shabarla Hameed</cp:lastModifiedBy>
  <dcterms:modified xsi:type="dcterms:W3CDTF">2026-06-21T14:40:32Z</dcterms:modified>
</cp:coreProperties>
</file>